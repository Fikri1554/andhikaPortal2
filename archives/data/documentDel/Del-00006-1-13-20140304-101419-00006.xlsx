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0" windowWidth="14955" windowHeight="8190"/>
  </bookViews>
  <sheets>
    <sheet name="IPE Notes" sheetId="1" r:id="rId1"/>
    <sheet name="Sheet1" sheetId="2" r:id="rId2"/>
    <sheet name="Sheet2" sheetId="3" r:id="rId3"/>
  </sheets>
  <definedNames>
    <definedName name="_xlnm._FilterDatabase" localSheetId="0" hidden="1">'IPE Notes'!$A$4:$P$68</definedName>
    <definedName name="_xlnm.Print_Area" localSheetId="0">'IPE Notes'!$A$1:$D$56</definedName>
  </definedNames>
  <calcPr calcId="144525"/>
</workbook>
</file>

<file path=xl/calcChain.xml><?xml version="1.0" encoding="utf-8"?>
<calcChain xmlns="http://schemas.openxmlformats.org/spreadsheetml/2006/main">
  <c r="C5" i="1" l="1"/>
  <c r="C55" i="1"/>
  <c r="C54" i="1"/>
  <c r="C53" i="1"/>
  <c r="C52" i="1"/>
  <c r="C51" i="1"/>
  <c r="C50" i="1"/>
  <c r="C49" i="1"/>
  <c r="C48" i="1"/>
  <c r="C47" i="1"/>
  <c r="C46" i="1"/>
  <c r="C44" i="1"/>
  <c r="C43" i="1"/>
  <c r="C42" i="1"/>
  <c r="C40" i="1"/>
  <c r="C39" i="1"/>
  <c r="C38" i="1"/>
  <c r="C37" i="1"/>
  <c r="C35" i="1"/>
  <c r="C34" i="1"/>
  <c r="C33" i="1"/>
  <c r="C31" i="1"/>
  <c r="C30" i="1"/>
  <c r="C29" i="1"/>
  <c r="C28" i="1"/>
  <c r="C26" i="1"/>
  <c r="C25" i="1"/>
  <c r="C24" i="1"/>
  <c r="C23" i="1"/>
  <c r="C22" i="1"/>
  <c r="C21" i="1"/>
  <c r="C20" i="1"/>
  <c r="C19" i="1"/>
  <c r="C17" i="1"/>
  <c r="C15" i="1"/>
  <c r="C14" i="1"/>
  <c r="C12" i="1"/>
  <c r="C11" i="1"/>
  <c r="C10" i="1"/>
  <c r="C9" i="1"/>
  <c r="C8" i="1"/>
  <c r="C7" i="1"/>
  <c r="C6" i="1"/>
</calcChain>
</file>

<file path=xl/comments1.xml><?xml version="1.0" encoding="utf-8"?>
<comments xmlns="http://schemas.openxmlformats.org/spreadsheetml/2006/main">
  <authors>
    <author>Trika Gunawan A.</author>
  </authors>
  <commentList>
    <comment ref="H46" authorId="0">
      <text>
        <r>
          <rPr>
            <b/>
            <sz val="8"/>
            <color indexed="81"/>
            <rFont val="Tahoma"/>
            <family val="2"/>
          </rPr>
          <t>Trika Gunawan A.:</t>
        </r>
        <r>
          <rPr>
            <sz val="8"/>
            <color indexed="81"/>
            <rFont val="Tahoma"/>
            <family val="2"/>
          </rPr>
          <t xml:space="preserve">
Revisi, awalanya bernilai 400, namun posisi pada F-II-3 : 350
</t>
        </r>
      </text>
    </comment>
    <comment ref="L46" authorId="0">
      <text>
        <r>
          <rPr>
            <b/>
            <sz val="8"/>
            <color indexed="81"/>
            <rFont val="Tahoma"/>
            <family val="2"/>
          </rPr>
          <t>Trika Gunawan A.:</t>
        </r>
        <r>
          <rPr>
            <sz val="8"/>
            <color indexed="81"/>
            <rFont val="Tahoma"/>
            <family val="2"/>
          </rPr>
          <t xml:space="preserve">
Revisi sesuai Know-How</t>
        </r>
      </text>
    </comment>
  </commentList>
</comments>
</file>

<file path=xl/sharedStrings.xml><?xml version="1.0" encoding="utf-8"?>
<sst xmlns="http://schemas.openxmlformats.org/spreadsheetml/2006/main" count="384" uniqueCount="127">
  <si>
    <t>Position Title</t>
  </si>
  <si>
    <t>Internal Grade</t>
  </si>
  <si>
    <t>Total Pts</t>
  </si>
  <si>
    <t>PC</t>
  </si>
  <si>
    <t>Position Evaluation Summary</t>
  </si>
  <si>
    <t>ANDHIKA GROUP</t>
  </si>
  <si>
    <t>Know How Measures</t>
  </si>
  <si>
    <t>Depth and Range of Tech. Know How</t>
  </si>
  <si>
    <t>Breadth of Management KH</t>
  </si>
  <si>
    <t>Human Relation Skill</t>
  </si>
  <si>
    <t>Total Points</t>
  </si>
  <si>
    <t>Problem Solving Measures</t>
  </si>
  <si>
    <t>Thinking Environment/ Freedom to Think</t>
  </si>
  <si>
    <t>Thinking Challenge</t>
  </si>
  <si>
    <t>Thinking Chall to Freedom to Think</t>
  </si>
  <si>
    <t>Accountability Measures</t>
  </si>
  <si>
    <t>Freedom to Act</t>
  </si>
  <si>
    <t>Indeterminate</t>
  </si>
  <si>
    <t>Area of Impact</t>
  </si>
  <si>
    <t>Finance and Accounting General Manager</t>
  </si>
  <si>
    <t>General Manager</t>
  </si>
  <si>
    <t>II</t>
  </si>
  <si>
    <t>F</t>
  </si>
  <si>
    <t>Accounting and Tax Manager</t>
  </si>
  <si>
    <t>Finance Manager</t>
  </si>
  <si>
    <t>General Cashier</t>
  </si>
  <si>
    <t>Accounting Supervisor</t>
  </si>
  <si>
    <t>Accounting Clerk</t>
  </si>
  <si>
    <t>Finance Supervisor</t>
  </si>
  <si>
    <t>Finance Clerk</t>
  </si>
  <si>
    <t>Manager</t>
  </si>
  <si>
    <t>Supervisor</t>
  </si>
  <si>
    <t>Staf</t>
  </si>
  <si>
    <t>Corporate Controller</t>
  </si>
  <si>
    <t>Cost and Budget Monitoring Supervisor</t>
  </si>
  <si>
    <t>Corporate Legal</t>
  </si>
  <si>
    <t>Ship Technical Management General Manager</t>
  </si>
  <si>
    <t>Technical Manager</t>
  </si>
  <si>
    <t>Technical Superintendent</t>
  </si>
  <si>
    <t>Assisten Technical Superintenden</t>
  </si>
  <si>
    <t>Logistic Supervisor</t>
  </si>
  <si>
    <t>Statutory Controller</t>
  </si>
  <si>
    <t>Ship Commercial General Manager</t>
  </si>
  <si>
    <t>Marine and Safety Operation Controller</t>
  </si>
  <si>
    <t>Ship Comm and Business Development Dry-Bulk</t>
  </si>
  <si>
    <t>Ship Comm. and Business Development Offshore</t>
  </si>
  <si>
    <t>Ship Comm and Business Development Staf</t>
  </si>
  <si>
    <t>Ship Operation General Manager</t>
  </si>
  <si>
    <t>Ship Operation Control Supervisor</t>
  </si>
  <si>
    <t>Ship Operation Administrator</t>
  </si>
  <si>
    <t>Ship Agency General Manager</t>
  </si>
  <si>
    <t>Marketing and Sales Manager</t>
  </si>
  <si>
    <t>Customer Handling Supervisor</t>
  </si>
  <si>
    <t>Customer Handling Staf</t>
  </si>
  <si>
    <t>Oil and Gas General Manager</t>
  </si>
  <si>
    <t>Logistic Specialist</t>
  </si>
  <si>
    <t>Administration Clerk</t>
  </si>
  <si>
    <t>HR &amp; Support General Manager</t>
  </si>
  <si>
    <t>HR Manager</t>
  </si>
  <si>
    <t>IT Manager</t>
  </si>
  <si>
    <t>Application Development Manager</t>
  </si>
  <si>
    <t>General Affairs Supervisor</t>
  </si>
  <si>
    <t>GA staf</t>
  </si>
  <si>
    <t>Training &amp; Recruitment</t>
  </si>
  <si>
    <t>Compansation and Benefit</t>
  </si>
  <si>
    <t>IT Supervisor</t>
  </si>
  <si>
    <t>IT Staf</t>
  </si>
  <si>
    <t>Head of Fleet</t>
  </si>
  <si>
    <t>E</t>
  </si>
  <si>
    <t>D</t>
  </si>
  <si>
    <t>C</t>
  </si>
  <si>
    <t>I</t>
  </si>
  <si>
    <t>N</t>
  </si>
  <si>
    <t>B</t>
  </si>
  <si>
    <t>3S</t>
  </si>
  <si>
    <t>3C</t>
  </si>
  <si>
    <t>2C</t>
  </si>
  <si>
    <t>3P</t>
  </si>
  <si>
    <t>1R</t>
  </si>
  <si>
    <t>1C</t>
  </si>
  <si>
    <t>Position Class Summary</t>
  </si>
  <si>
    <t>Level</t>
  </si>
  <si>
    <t>PC Range</t>
  </si>
  <si>
    <t>PC Range        (fine-tuned)</t>
  </si>
  <si>
    <t>Senior Manager</t>
  </si>
  <si>
    <t>2S</t>
  </si>
  <si>
    <t>0C</t>
  </si>
  <si>
    <t>0B</t>
  </si>
  <si>
    <t>65 - 73</t>
  </si>
  <si>
    <t>55 - 59</t>
  </si>
  <si>
    <t>44 - 49</t>
  </si>
  <si>
    <t>42 - 43</t>
  </si>
  <si>
    <t>Asisten Manager/Executive</t>
  </si>
  <si>
    <t>50 -54</t>
  </si>
  <si>
    <t>42 - 44</t>
  </si>
  <si>
    <t>45 - 49</t>
  </si>
  <si>
    <t>60 - 64</t>
  </si>
  <si>
    <t>65 - 69</t>
  </si>
  <si>
    <t>Non-Staf</t>
  </si>
  <si>
    <t>40 - 41</t>
  </si>
  <si>
    <t>Grade</t>
  </si>
  <si>
    <t>Sub-Grade</t>
  </si>
  <si>
    <t>Career Stream</t>
  </si>
  <si>
    <t>Managerial</t>
  </si>
  <si>
    <t>Professional</t>
  </si>
  <si>
    <t>Staff</t>
  </si>
  <si>
    <t>Asisten Manager</t>
  </si>
  <si>
    <t>Non- Staf</t>
  </si>
  <si>
    <t>Analyst</t>
  </si>
  <si>
    <t>Senior Specialist</t>
  </si>
  <si>
    <t>Superintendent/Specialist</t>
  </si>
  <si>
    <t>A-B-C</t>
  </si>
  <si>
    <t>45 - 47</t>
  </si>
  <si>
    <t>48 - 50</t>
  </si>
  <si>
    <t>51 - 53</t>
  </si>
  <si>
    <t>54 - 56</t>
  </si>
  <si>
    <t>57 - 59</t>
  </si>
  <si>
    <t>63 - 65</t>
  </si>
  <si>
    <t>60 - 62</t>
  </si>
  <si>
    <t>66 - 69</t>
  </si>
  <si>
    <t>Jr. Supervisor</t>
  </si>
  <si>
    <t>Sr. Manager</t>
  </si>
  <si>
    <t>Jr. Manager</t>
  </si>
  <si>
    <t>Sr. Supervisor</t>
  </si>
  <si>
    <t>3R</t>
  </si>
  <si>
    <t>0D</t>
  </si>
  <si>
    <t>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</si>
</sst>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10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6"/>
      <color indexed="9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6"/>
      <color indexed="9"/>
      <name val="Arial"/>
      <family val="2"/>
    </font>
    <font>
      <b/>
      <sz val="11"/>
      <name val="Arial"/>
      <family val="2"/>
    </font>
    <font>
      <b/>
      <sz val="14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3" fillId="0" borderId="0" xfId="0" applyFont="1" applyFill="1" applyAlignment="1">
      <alignment vertical="top" wrapText="1"/>
    </xf>
    <xf numFmtId="0" fontId="3" fillId="0" borderId="0" xfId="0" applyFont="1" applyFill="1" applyBorder="1" applyAlignment="1">
      <alignment vertical="top"/>
    </xf>
    <xf numFmtId="0" fontId="1" fillId="0" borderId="0" xfId="0" applyFont="1" applyFill="1" applyAlignment="1">
      <alignment vertical="top"/>
    </xf>
    <xf numFmtId="0" fontId="1" fillId="0" borderId="0" xfId="0" applyFont="1" applyFill="1" applyBorder="1" applyAlignment="1">
      <alignment vertical="top"/>
    </xf>
    <xf numFmtId="0" fontId="1" fillId="0" borderId="1" xfId="0" applyFont="1" applyFill="1" applyBorder="1" applyAlignment="1">
      <alignment vertical="top"/>
    </xf>
    <xf numFmtId="0" fontId="5" fillId="0" borderId="2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5" fillId="0" borderId="0" xfId="0" applyFont="1" applyFill="1" applyBorder="1" applyAlignment="1">
      <alignment vertical="top"/>
    </xf>
    <xf numFmtId="0" fontId="10" fillId="0" borderId="0" xfId="0" applyFont="1" applyFill="1" applyBorder="1" applyAlignment="1">
      <alignment vertical="top"/>
    </xf>
    <xf numFmtId="0" fontId="3" fillId="0" borderId="0" xfId="0" applyFont="1" applyFill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 applyProtection="1">
      <alignment vertical="center"/>
      <protection locked="0"/>
    </xf>
    <xf numFmtId="0" fontId="3" fillId="0" borderId="4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3" fillId="0" borderId="5" xfId="0" applyFont="1" applyFill="1" applyBorder="1" applyAlignment="1" applyProtection="1">
      <alignment vertical="center"/>
      <protection locked="0"/>
    </xf>
    <xf numFmtId="0" fontId="3" fillId="0" borderId="5" xfId="0" applyFont="1" applyFill="1" applyBorder="1" applyAlignment="1">
      <alignment vertical="center"/>
    </xf>
    <xf numFmtId="0" fontId="5" fillId="0" borderId="5" xfId="0" applyFont="1" applyFill="1" applyBorder="1" applyAlignment="1">
      <alignment vertical="center"/>
    </xf>
    <xf numFmtId="0" fontId="3" fillId="0" borderId="5" xfId="0" applyFont="1" applyFill="1" applyBorder="1" applyAlignment="1" applyProtection="1">
      <alignment vertical="center" wrapText="1"/>
      <protection locked="0"/>
    </xf>
    <xf numFmtId="0" fontId="1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  <xf numFmtId="0" fontId="2" fillId="2" borderId="3" xfId="0" quotePrefix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center" vertical="top" wrapText="1"/>
    </xf>
    <xf numFmtId="0" fontId="4" fillId="0" borderId="6" xfId="0" applyFont="1" applyFill="1" applyBorder="1" applyAlignment="1">
      <alignment horizontal="center" vertical="top" wrapText="1"/>
    </xf>
    <xf numFmtId="0" fontId="8" fillId="0" borderId="1" xfId="0" applyFont="1" applyFill="1" applyBorder="1" applyAlignment="1">
      <alignment horizontal="center" vertical="top" wrapText="1"/>
    </xf>
    <xf numFmtId="0" fontId="9" fillId="0" borderId="1" xfId="0" applyFont="1" applyFill="1" applyBorder="1" applyAlignment="1">
      <alignment horizontal="center" vertical="top" wrapText="1"/>
    </xf>
    <xf numFmtId="0" fontId="9" fillId="0" borderId="6" xfId="0" applyFont="1" applyFill="1" applyBorder="1" applyAlignment="1">
      <alignment horizontal="center" vertical="top" wrapText="1"/>
    </xf>
    <xf numFmtId="0" fontId="3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Fill="1" applyBorder="1" applyAlignment="1" applyProtection="1">
      <alignment horizontal="center" vertical="center"/>
      <protection locked="0"/>
    </xf>
    <xf numFmtId="0" fontId="3" fillId="0" borderId="5" xfId="0" applyFont="1" applyFill="1" applyBorder="1" applyAlignment="1" applyProtection="1">
      <alignment horizontal="center" vertical="center" wrapText="1"/>
      <protection locked="0"/>
    </xf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 applyProtection="1">
      <alignment horizontal="center" vertical="center"/>
      <protection locked="0"/>
    </xf>
    <xf numFmtId="0" fontId="3" fillId="0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 applyProtection="1">
      <alignment horizontal="center" vertical="center" wrapText="1"/>
      <protection locked="0"/>
    </xf>
    <xf numFmtId="0" fontId="11" fillId="2" borderId="3" xfId="0" applyFont="1" applyFill="1" applyBorder="1" applyAlignment="1" applyProtection="1">
      <alignment horizontal="center" vertical="center" wrapText="1"/>
      <protection locked="0"/>
    </xf>
    <xf numFmtId="0" fontId="11" fillId="2" borderId="10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3" borderId="4" xfId="0" applyFont="1" applyFill="1" applyBorder="1" applyAlignment="1" applyProtection="1">
      <alignment horizontal="center" vertical="center" wrapText="1"/>
      <protection locked="0"/>
    </xf>
    <xf numFmtId="0" fontId="3" fillId="3" borderId="5" xfId="0" applyFont="1" applyFill="1" applyBorder="1" applyAlignment="1" applyProtection="1">
      <alignment horizontal="center" vertical="center" wrapText="1"/>
      <protection locked="0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4" borderId="5" xfId="0" applyFont="1" applyFill="1" applyBorder="1" applyAlignment="1" applyProtection="1">
      <alignment horizontal="center" vertical="center" wrapText="1"/>
      <protection locked="0"/>
    </xf>
    <xf numFmtId="0" fontId="3" fillId="4" borderId="5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Q196"/>
  <sheetViews>
    <sheetView showGridLines="0" tabSelected="1" zoomScale="70" workbookViewId="0">
      <pane xSplit="4" ySplit="4" topLeftCell="F50" activePane="bottomRight" state="frozen"/>
      <selection pane="topRight" activeCell="N1" sqref="N1"/>
      <selection pane="bottomLeft" activeCell="A3" sqref="A3"/>
      <selection pane="bottomRight" activeCell="H54" sqref="H54"/>
    </sheetView>
  </sheetViews>
  <sheetFormatPr defaultRowHeight="20.25" x14ac:dyDescent="0.2"/>
  <cols>
    <col min="1" max="1" width="43.7109375" style="5" customWidth="1"/>
    <col min="2" max="2" width="30.28515625" style="4" customWidth="1"/>
    <col min="3" max="3" width="9.7109375" style="7" customWidth="1"/>
    <col min="4" max="4" width="10" style="6" customWidth="1"/>
    <col min="5" max="5" width="19.85546875" style="36" customWidth="1"/>
    <col min="6" max="6" width="18" style="24" customWidth="1"/>
    <col min="7" max="8" width="19" style="24" customWidth="1"/>
    <col min="9" max="9" width="19.140625" style="37" customWidth="1"/>
    <col min="10" max="11" width="19" style="24" customWidth="1"/>
    <col min="12" max="12" width="15.28515625" style="38" customWidth="1"/>
    <col min="13" max="14" width="15.28515625" style="24" customWidth="1"/>
    <col min="15" max="15" width="15.28515625" style="37" customWidth="1"/>
    <col min="16" max="16" width="15.28515625" style="24" customWidth="1"/>
    <col min="17" max="16384" width="9.140625" style="3"/>
  </cols>
  <sheetData>
    <row r="1" spans="1:17" x14ac:dyDescent="0.2">
      <c r="A1" s="9" t="s">
        <v>5</v>
      </c>
      <c r="C1" s="2"/>
      <c r="D1" s="8"/>
      <c r="E1" s="23"/>
      <c r="I1" s="24"/>
      <c r="L1" s="24"/>
      <c r="O1" s="24"/>
    </row>
    <row r="2" spans="1:17" s="4" customFormat="1" x14ac:dyDescent="0.2">
      <c r="A2" s="9" t="s">
        <v>4</v>
      </c>
      <c r="C2" s="2"/>
      <c r="D2" s="8"/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7" s="1" customFormat="1" ht="26.25" customHeight="1" x14ac:dyDescent="0.2">
      <c r="A3" s="55" t="s">
        <v>0</v>
      </c>
      <c r="B3" s="55" t="s">
        <v>1</v>
      </c>
      <c r="C3" s="57" t="s">
        <v>2</v>
      </c>
      <c r="D3" s="57" t="s">
        <v>3</v>
      </c>
      <c r="E3" s="52" t="s">
        <v>6</v>
      </c>
      <c r="F3" s="53"/>
      <c r="G3" s="53"/>
      <c r="H3" s="54"/>
      <c r="I3" s="52" t="s">
        <v>11</v>
      </c>
      <c r="J3" s="53"/>
      <c r="K3" s="53"/>
      <c r="L3" s="54"/>
      <c r="M3" s="52" t="s">
        <v>15</v>
      </c>
      <c r="N3" s="53"/>
      <c r="O3" s="53"/>
      <c r="P3" s="54"/>
    </row>
    <row r="4" spans="1:17" s="10" customFormat="1" ht="44.25" customHeight="1" x14ac:dyDescent="0.2">
      <c r="A4" s="56"/>
      <c r="B4" s="56"/>
      <c r="C4" s="58"/>
      <c r="D4" s="58"/>
      <c r="E4" s="11" t="s">
        <v>7</v>
      </c>
      <c r="F4" s="11" t="s">
        <v>8</v>
      </c>
      <c r="G4" s="11" t="s">
        <v>9</v>
      </c>
      <c r="H4" s="11" t="s">
        <v>10</v>
      </c>
      <c r="I4" s="11" t="s">
        <v>12</v>
      </c>
      <c r="J4" s="11" t="s">
        <v>13</v>
      </c>
      <c r="K4" s="11" t="s">
        <v>14</v>
      </c>
      <c r="L4" s="25" t="s">
        <v>10</v>
      </c>
      <c r="M4" s="11" t="s">
        <v>16</v>
      </c>
      <c r="N4" s="11" t="s">
        <v>17</v>
      </c>
      <c r="O4" s="11" t="s">
        <v>18</v>
      </c>
      <c r="P4" s="11" t="s">
        <v>10</v>
      </c>
    </row>
    <row r="5" spans="1:17" s="14" customFormat="1" ht="12.75" x14ac:dyDescent="0.2">
      <c r="A5" s="12" t="s">
        <v>19</v>
      </c>
      <c r="B5" s="12" t="s">
        <v>20</v>
      </c>
      <c r="C5" s="13">
        <f>H5+L5+P5</f>
        <v>755</v>
      </c>
      <c r="D5" s="13">
        <v>69</v>
      </c>
      <c r="E5" s="39" t="s">
        <v>22</v>
      </c>
      <c r="F5" s="39" t="s">
        <v>21</v>
      </c>
      <c r="G5" s="39">
        <v>2</v>
      </c>
      <c r="H5" s="61">
        <v>350</v>
      </c>
      <c r="I5" s="39" t="s">
        <v>22</v>
      </c>
      <c r="J5" s="39">
        <v>4</v>
      </c>
      <c r="K5" s="39">
        <v>50</v>
      </c>
      <c r="L5" s="61">
        <v>175</v>
      </c>
      <c r="M5" s="40" t="s">
        <v>22</v>
      </c>
      <c r="N5" s="39"/>
      <c r="O5" s="39" t="s">
        <v>75</v>
      </c>
      <c r="P5" s="61">
        <v>230</v>
      </c>
      <c r="Q5" s="10"/>
    </row>
    <row r="6" spans="1:17" s="10" customFormat="1" ht="12.75" x14ac:dyDescent="0.2">
      <c r="A6" s="15" t="s">
        <v>23</v>
      </c>
      <c r="B6" s="15" t="s">
        <v>30</v>
      </c>
      <c r="C6" s="16">
        <f t="shared" ref="C6:C55" si="0">H6+L6+P6</f>
        <v>451</v>
      </c>
      <c r="D6" s="16">
        <v>57</v>
      </c>
      <c r="E6" s="41" t="s">
        <v>68</v>
      </c>
      <c r="F6" s="41" t="s">
        <v>21</v>
      </c>
      <c r="G6" s="41">
        <v>2</v>
      </c>
      <c r="H6" s="62">
        <v>264</v>
      </c>
      <c r="I6" s="41" t="s">
        <v>69</v>
      </c>
      <c r="J6" s="41">
        <v>3</v>
      </c>
      <c r="K6" s="41">
        <v>33</v>
      </c>
      <c r="L6" s="62">
        <v>87</v>
      </c>
      <c r="M6" s="41" t="s">
        <v>69</v>
      </c>
      <c r="N6" s="41"/>
      <c r="O6" s="41" t="s">
        <v>75</v>
      </c>
      <c r="P6" s="62">
        <v>100</v>
      </c>
    </row>
    <row r="7" spans="1:17" s="14" customFormat="1" ht="12.75" x14ac:dyDescent="0.2">
      <c r="A7" s="18" t="s">
        <v>24</v>
      </c>
      <c r="B7" s="15" t="s">
        <v>30</v>
      </c>
      <c r="C7" s="16">
        <f t="shared" si="0"/>
        <v>466</v>
      </c>
      <c r="D7" s="16">
        <v>57</v>
      </c>
      <c r="E7" s="41" t="s">
        <v>68</v>
      </c>
      <c r="F7" s="41" t="s">
        <v>21</v>
      </c>
      <c r="G7" s="41">
        <v>2</v>
      </c>
      <c r="H7" s="62">
        <v>264</v>
      </c>
      <c r="I7" s="41" t="s">
        <v>69</v>
      </c>
      <c r="J7" s="41">
        <v>3</v>
      </c>
      <c r="K7" s="41">
        <v>33</v>
      </c>
      <c r="L7" s="62">
        <v>87</v>
      </c>
      <c r="M7" s="41" t="s">
        <v>69</v>
      </c>
      <c r="N7" s="41"/>
      <c r="O7" s="41" t="s">
        <v>74</v>
      </c>
      <c r="P7" s="62">
        <v>115</v>
      </c>
      <c r="Q7" s="10"/>
    </row>
    <row r="8" spans="1:17" s="19" customFormat="1" ht="12.75" x14ac:dyDescent="0.2">
      <c r="A8" s="16" t="s">
        <v>25</v>
      </c>
      <c r="B8" s="16" t="s">
        <v>31</v>
      </c>
      <c r="C8" s="16">
        <f t="shared" si="0"/>
        <v>251</v>
      </c>
      <c r="D8" s="16">
        <v>49</v>
      </c>
      <c r="E8" s="41" t="s">
        <v>69</v>
      </c>
      <c r="F8" s="42" t="s">
        <v>71</v>
      </c>
      <c r="G8" s="42">
        <v>2</v>
      </c>
      <c r="H8" s="63">
        <v>152</v>
      </c>
      <c r="I8" s="42" t="s">
        <v>70</v>
      </c>
      <c r="J8" s="42">
        <v>2</v>
      </c>
      <c r="K8" s="42">
        <v>22</v>
      </c>
      <c r="L8" s="63">
        <v>33</v>
      </c>
      <c r="M8" s="42" t="s">
        <v>70</v>
      </c>
      <c r="N8" s="42"/>
      <c r="O8" s="42" t="s">
        <v>85</v>
      </c>
      <c r="P8" s="63">
        <v>66</v>
      </c>
    </row>
    <row r="9" spans="1:17" s="10" customFormat="1" ht="12.75" x14ac:dyDescent="0.2">
      <c r="A9" s="15" t="s">
        <v>26</v>
      </c>
      <c r="B9" s="15" t="s">
        <v>31</v>
      </c>
      <c r="C9" s="16">
        <f t="shared" si="0"/>
        <v>187</v>
      </c>
      <c r="D9" s="16">
        <v>46</v>
      </c>
      <c r="E9" s="41" t="s">
        <v>70</v>
      </c>
      <c r="F9" s="41" t="s">
        <v>71</v>
      </c>
      <c r="G9" s="41">
        <v>2</v>
      </c>
      <c r="H9" s="62">
        <v>115</v>
      </c>
      <c r="I9" s="41" t="s">
        <v>70</v>
      </c>
      <c r="J9" s="41">
        <v>2</v>
      </c>
      <c r="K9" s="41">
        <v>19</v>
      </c>
      <c r="L9" s="62">
        <v>22</v>
      </c>
      <c r="M9" s="41" t="s">
        <v>70</v>
      </c>
      <c r="N9" s="41"/>
      <c r="O9" s="41" t="s">
        <v>76</v>
      </c>
      <c r="P9" s="62">
        <v>50</v>
      </c>
    </row>
    <row r="10" spans="1:17" s="10" customFormat="1" ht="12.75" x14ac:dyDescent="0.2">
      <c r="A10" s="15" t="s">
        <v>27</v>
      </c>
      <c r="B10" s="15" t="s">
        <v>32</v>
      </c>
      <c r="C10" s="16">
        <f t="shared" si="0"/>
        <v>98</v>
      </c>
      <c r="D10" s="16">
        <v>42</v>
      </c>
      <c r="E10" s="41" t="s">
        <v>73</v>
      </c>
      <c r="F10" s="41" t="s">
        <v>72</v>
      </c>
      <c r="G10" s="41">
        <v>1</v>
      </c>
      <c r="H10" s="62">
        <v>57</v>
      </c>
      <c r="I10" s="41" t="s">
        <v>73</v>
      </c>
      <c r="J10" s="41">
        <v>1</v>
      </c>
      <c r="K10" s="41">
        <v>14</v>
      </c>
      <c r="L10" s="62">
        <v>8</v>
      </c>
      <c r="M10" s="41" t="s">
        <v>73</v>
      </c>
      <c r="N10" s="41"/>
      <c r="O10" s="41" t="s">
        <v>76</v>
      </c>
      <c r="P10" s="62">
        <v>33</v>
      </c>
    </row>
    <row r="11" spans="1:17" s="10" customFormat="1" ht="12.75" x14ac:dyDescent="0.2">
      <c r="A11" s="15" t="s">
        <v>28</v>
      </c>
      <c r="B11" s="15" t="s">
        <v>31</v>
      </c>
      <c r="C11" s="16">
        <f t="shared" si="0"/>
        <v>200</v>
      </c>
      <c r="D11" s="16">
        <v>46</v>
      </c>
      <c r="E11" s="41" t="s">
        <v>70</v>
      </c>
      <c r="F11" s="41" t="s">
        <v>71</v>
      </c>
      <c r="G11" s="41">
        <v>2</v>
      </c>
      <c r="H11" s="62">
        <v>115</v>
      </c>
      <c r="I11" s="44" t="s">
        <v>73</v>
      </c>
      <c r="J11" s="41">
        <v>2</v>
      </c>
      <c r="K11" s="41">
        <v>16</v>
      </c>
      <c r="L11" s="62">
        <v>19</v>
      </c>
      <c r="M11" s="41" t="s">
        <v>70</v>
      </c>
      <c r="N11" s="41"/>
      <c r="O11" s="41" t="s">
        <v>85</v>
      </c>
      <c r="P11" s="62">
        <v>66</v>
      </c>
    </row>
    <row r="12" spans="1:17" s="10" customFormat="1" ht="12.75" x14ac:dyDescent="0.2">
      <c r="A12" s="15" t="s">
        <v>29</v>
      </c>
      <c r="B12" s="15" t="s">
        <v>32</v>
      </c>
      <c r="C12" s="16">
        <f t="shared" si="0"/>
        <v>108</v>
      </c>
      <c r="D12" s="16">
        <v>43</v>
      </c>
      <c r="E12" s="41" t="s">
        <v>73</v>
      </c>
      <c r="F12" s="41" t="s">
        <v>72</v>
      </c>
      <c r="G12" s="41">
        <v>1</v>
      </c>
      <c r="H12" s="62">
        <v>57</v>
      </c>
      <c r="I12" s="41" t="s">
        <v>73</v>
      </c>
      <c r="J12" s="41">
        <v>1</v>
      </c>
      <c r="K12" s="41">
        <v>14</v>
      </c>
      <c r="L12" s="62">
        <v>8</v>
      </c>
      <c r="M12" s="41" t="s">
        <v>73</v>
      </c>
      <c r="N12" s="41"/>
      <c r="O12" s="41" t="s">
        <v>85</v>
      </c>
      <c r="P12" s="41">
        <v>43</v>
      </c>
    </row>
    <row r="13" spans="1:17" s="10" customFormat="1" ht="12.75" x14ac:dyDescent="0.2">
      <c r="A13" s="15"/>
      <c r="B13" s="15"/>
      <c r="C13" s="16"/>
      <c r="D13" s="16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</row>
    <row r="14" spans="1:17" s="10" customFormat="1" ht="12.75" x14ac:dyDescent="0.2">
      <c r="A14" s="15" t="s">
        <v>33</v>
      </c>
      <c r="B14" s="15" t="s">
        <v>20</v>
      </c>
      <c r="C14" s="16">
        <f t="shared" si="0"/>
        <v>725</v>
      </c>
      <c r="D14" s="16">
        <v>67</v>
      </c>
      <c r="E14" s="41" t="s">
        <v>22</v>
      </c>
      <c r="F14" s="41" t="s">
        <v>21</v>
      </c>
      <c r="G14" s="41">
        <v>2</v>
      </c>
      <c r="H14" s="62">
        <v>350</v>
      </c>
      <c r="I14" s="41" t="s">
        <v>22</v>
      </c>
      <c r="J14" s="41">
        <v>4</v>
      </c>
      <c r="K14" s="41">
        <v>50</v>
      </c>
      <c r="L14" s="62">
        <v>175</v>
      </c>
      <c r="M14" s="41" t="s">
        <v>22</v>
      </c>
      <c r="N14" s="41"/>
      <c r="O14" s="41" t="s">
        <v>75</v>
      </c>
      <c r="P14" s="62">
        <v>200</v>
      </c>
    </row>
    <row r="15" spans="1:17" s="14" customFormat="1" ht="12.75" x14ac:dyDescent="0.2">
      <c r="A15" s="15" t="s">
        <v>34</v>
      </c>
      <c r="B15" s="15" t="s">
        <v>31</v>
      </c>
      <c r="C15" s="16">
        <f t="shared" si="0"/>
        <v>203</v>
      </c>
      <c r="D15" s="16">
        <v>47</v>
      </c>
      <c r="E15" s="41" t="s">
        <v>70</v>
      </c>
      <c r="F15" s="41" t="s">
        <v>71</v>
      </c>
      <c r="G15" s="41">
        <v>2</v>
      </c>
      <c r="H15" s="62">
        <v>115</v>
      </c>
      <c r="I15" s="41" t="s">
        <v>70</v>
      </c>
      <c r="J15" s="41">
        <v>2</v>
      </c>
      <c r="K15" s="41">
        <v>19</v>
      </c>
      <c r="L15" s="62">
        <v>22</v>
      </c>
      <c r="M15" s="41" t="s">
        <v>70</v>
      </c>
      <c r="N15" s="41"/>
      <c r="O15" s="41" t="s">
        <v>75</v>
      </c>
      <c r="P15" s="62">
        <v>66</v>
      </c>
      <c r="Q15" s="10"/>
    </row>
    <row r="16" spans="1:17" s="10" customFormat="1" ht="12.75" x14ac:dyDescent="0.2">
      <c r="A16" s="15"/>
      <c r="B16" s="15"/>
      <c r="C16" s="16"/>
      <c r="D16" s="16"/>
      <c r="E16" s="41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</row>
    <row r="17" spans="1:16" s="10" customFormat="1" ht="12.75" x14ac:dyDescent="0.2">
      <c r="A17" s="15" t="s">
        <v>35</v>
      </c>
      <c r="B17" s="15" t="s">
        <v>84</v>
      </c>
      <c r="C17" s="16">
        <f t="shared" si="0"/>
        <v>597</v>
      </c>
      <c r="D17" s="16">
        <v>62</v>
      </c>
      <c r="E17" s="41" t="s">
        <v>22</v>
      </c>
      <c r="F17" s="43" t="s">
        <v>21</v>
      </c>
      <c r="G17" s="43">
        <v>2</v>
      </c>
      <c r="H17" s="64">
        <v>350</v>
      </c>
      <c r="I17" s="43" t="s">
        <v>68</v>
      </c>
      <c r="J17" s="43">
        <v>3</v>
      </c>
      <c r="K17" s="43">
        <v>38</v>
      </c>
      <c r="L17" s="64">
        <v>132</v>
      </c>
      <c r="M17" s="43" t="s">
        <v>68</v>
      </c>
      <c r="N17" s="43"/>
      <c r="O17" s="43" t="s">
        <v>124</v>
      </c>
      <c r="P17" s="64">
        <v>115</v>
      </c>
    </row>
    <row r="18" spans="1:16" s="10" customFormat="1" ht="12.75" x14ac:dyDescent="0.2">
      <c r="A18" s="15"/>
      <c r="B18" s="15"/>
      <c r="C18" s="16"/>
      <c r="D18" s="16"/>
      <c r="E18" s="41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</row>
    <row r="19" spans="1:16" s="10" customFormat="1" ht="12.75" x14ac:dyDescent="0.2">
      <c r="A19" s="15" t="s">
        <v>67</v>
      </c>
      <c r="B19" s="15" t="s">
        <v>20</v>
      </c>
      <c r="C19" s="16">
        <f t="shared" si="0"/>
        <v>755</v>
      </c>
      <c r="D19" s="16">
        <v>69</v>
      </c>
      <c r="E19" s="41" t="s">
        <v>22</v>
      </c>
      <c r="F19" s="43" t="s">
        <v>21</v>
      </c>
      <c r="G19" s="43">
        <v>2</v>
      </c>
      <c r="H19" s="64">
        <v>350</v>
      </c>
      <c r="I19" s="43" t="s">
        <v>22</v>
      </c>
      <c r="J19" s="43">
        <v>4</v>
      </c>
      <c r="K19" s="43">
        <v>50</v>
      </c>
      <c r="L19" s="64">
        <v>175</v>
      </c>
      <c r="M19" s="43" t="s">
        <v>22</v>
      </c>
      <c r="N19" s="43"/>
      <c r="O19" s="43" t="s">
        <v>75</v>
      </c>
      <c r="P19" s="64">
        <v>230</v>
      </c>
    </row>
    <row r="20" spans="1:16" s="10" customFormat="1" ht="12.75" x14ac:dyDescent="0.2">
      <c r="A20" s="15" t="s">
        <v>36</v>
      </c>
      <c r="B20" s="15" t="s">
        <v>20</v>
      </c>
      <c r="C20" s="16">
        <f t="shared" si="0"/>
        <v>654</v>
      </c>
      <c r="D20" s="16">
        <v>65</v>
      </c>
      <c r="E20" s="41" t="s">
        <v>22</v>
      </c>
      <c r="F20" s="43" t="s">
        <v>21</v>
      </c>
      <c r="G20" s="43">
        <v>2</v>
      </c>
      <c r="H20" s="64">
        <v>350</v>
      </c>
      <c r="I20" s="43" t="s">
        <v>68</v>
      </c>
      <c r="J20" s="43">
        <v>4</v>
      </c>
      <c r="K20" s="43">
        <v>43</v>
      </c>
      <c r="L20" s="64">
        <v>152</v>
      </c>
      <c r="M20" s="43" t="s">
        <v>22</v>
      </c>
      <c r="N20" s="43" t="s">
        <v>86</v>
      </c>
      <c r="O20" s="43"/>
      <c r="P20" s="64">
        <v>152</v>
      </c>
    </row>
    <row r="21" spans="1:16" s="10" customFormat="1" ht="12.75" x14ac:dyDescent="0.2">
      <c r="A21" s="15" t="s">
        <v>43</v>
      </c>
      <c r="B21" s="15" t="s">
        <v>30</v>
      </c>
      <c r="C21" s="16">
        <f t="shared" si="0"/>
        <v>417</v>
      </c>
      <c r="D21" s="16">
        <v>55</v>
      </c>
      <c r="E21" s="43" t="s">
        <v>68</v>
      </c>
      <c r="F21" s="43" t="s">
        <v>21</v>
      </c>
      <c r="G21" s="43">
        <v>2</v>
      </c>
      <c r="H21" s="64">
        <v>264</v>
      </c>
      <c r="I21" s="41" t="s">
        <v>69</v>
      </c>
      <c r="J21" s="41">
        <v>3</v>
      </c>
      <c r="K21" s="41">
        <v>33</v>
      </c>
      <c r="L21" s="62">
        <v>87</v>
      </c>
      <c r="M21" s="43" t="s">
        <v>69</v>
      </c>
      <c r="N21" s="43" t="s">
        <v>86</v>
      </c>
      <c r="O21" s="43"/>
      <c r="P21" s="64">
        <v>66</v>
      </c>
    </row>
    <row r="22" spans="1:16" s="10" customFormat="1" ht="12.75" x14ac:dyDescent="0.2">
      <c r="A22" s="15" t="s">
        <v>37</v>
      </c>
      <c r="B22" s="15" t="s">
        <v>30</v>
      </c>
      <c r="C22" s="16">
        <f t="shared" si="0"/>
        <v>417</v>
      </c>
      <c r="D22" s="16">
        <v>55</v>
      </c>
      <c r="E22" s="43" t="s">
        <v>68</v>
      </c>
      <c r="F22" s="43" t="s">
        <v>21</v>
      </c>
      <c r="G22" s="43">
        <v>2</v>
      </c>
      <c r="H22" s="64">
        <v>264</v>
      </c>
      <c r="I22" s="41" t="s">
        <v>69</v>
      </c>
      <c r="J22" s="41">
        <v>3</v>
      </c>
      <c r="K22" s="41">
        <v>33</v>
      </c>
      <c r="L22" s="62">
        <v>87</v>
      </c>
      <c r="M22" s="43" t="s">
        <v>69</v>
      </c>
      <c r="N22" s="43" t="s">
        <v>86</v>
      </c>
      <c r="O22" s="43"/>
      <c r="P22" s="64">
        <v>66</v>
      </c>
    </row>
    <row r="23" spans="1:16" s="10" customFormat="1" ht="12.75" x14ac:dyDescent="0.2">
      <c r="A23" s="15" t="s">
        <v>38</v>
      </c>
      <c r="B23" s="15" t="s">
        <v>31</v>
      </c>
      <c r="C23" s="16">
        <f t="shared" si="0"/>
        <v>180</v>
      </c>
      <c r="D23" s="16">
        <v>44</v>
      </c>
      <c r="E23" s="43" t="s">
        <v>70</v>
      </c>
      <c r="F23" s="43" t="s">
        <v>71</v>
      </c>
      <c r="G23" s="43">
        <v>2</v>
      </c>
      <c r="H23" s="64">
        <v>115</v>
      </c>
      <c r="I23" s="44" t="s">
        <v>70</v>
      </c>
      <c r="J23" s="41">
        <v>2</v>
      </c>
      <c r="K23" s="41">
        <v>19</v>
      </c>
      <c r="L23" s="62">
        <v>22</v>
      </c>
      <c r="M23" s="43" t="s">
        <v>70</v>
      </c>
      <c r="N23" s="43" t="s">
        <v>86</v>
      </c>
      <c r="O23" s="43"/>
      <c r="P23" s="64">
        <v>43</v>
      </c>
    </row>
    <row r="24" spans="1:16" s="10" customFormat="1" ht="12.75" x14ac:dyDescent="0.2">
      <c r="A24" s="15" t="s">
        <v>39</v>
      </c>
      <c r="B24" s="15" t="s">
        <v>32</v>
      </c>
      <c r="C24" s="16">
        <f t="shared" si="0"/>
        <v>94</v>
      </c>
      <c r="D24" s="16">
        <v>42</v>
      </c>
      <c r="E24" s="43" t="s">
        <v>73</v>
      </c>
      <c r="F24" s="43" t="s">
        <v>72</v>
      </c>
      <c r="G24" s="43">
        <v>1</v>
      </c>
      <c r="H24" s="64">
        <v>57</v>
      </c>
      <c r="I24" s="41" t="s">
        <v>73</v>
      </c>
      <c r="J24" s="41">
        <v>1</v>
      </c>
      <c r="K24" s="41">
        <v>14</v>
      </c>
      <c r="L24" s="62">
        <v>8</v>
      </c>
      <c r="M24" s="43" t="s">
        <v>73</v>
      </c>
      <c r="N24" s="43" t="s">
        <v>86</v>
      </c>
      <c r="O24" s="43"/>
      <c r="P24" s="64">
        <v>29</v>
      </c>
    </row>
    <row r="25" spans="1:16" s="10" customFormat="1" ht="12.75" x14ac:dyDescent="0.2">
      <c r="A25" s="15" t="s">
        <v>40</v>
      </c>
      <c r="B25" s="15" t="s">
        <v>31</v>
      </c>
      <c r="C25" s="16">
        <f t="shared" si="0"/>
        <v>175</v>
      </c>
      <c r="D25" s="16">
        <v>45</v>
      </c>
      <c r="E25" s="43" t="s">
        <v>70</v>
      </c>
      <c r="F25" s="43" t="s">
        <v>71</v>
      </c>
      <c r="G25" s="43">
        <v>2</v>
      </c>
      <c r="H25" s="64">
        <v>115</v>
      </c>
      <c r="I25" s="41" t="s">
        <v>70</v>
      </c>
      <c r="J25" s="41">
        <v>2</v>
      </c>
      <c r="K25" s="41">
        <v>19</v>
      </c>
      <c r="L25" s="62">
        <v>22</v>
      </c>
      <c r="M25" s="43" t="s">
        <v>70</v>
      </c>
      <c r="N25" s="43"/>
      <c r="O25" s="43" t="s">
        <v>79</v>
      </c>
      <c r="P25" s="64">
        <v>38</v>
      </c>
    </row>
    <row r="26" spans="1:16" s="10" customFormat="1" ht="12.75" x14ac:dyDescent="0.2">
      <c r="A26" s="15" t="s">
        <v>41</v>
      </c>
      <c r="B26" s="15" t="s">
        <v>32</v>
      </c>
      <c r="C26" s="16">
        <f t="shared" si="0"/>
        <v>94</v>
      </c>
      <c r="D26" s="16">
        <v>42</v>
      </c>
      <c r="E26" s="43" t="s">
        <v>73</v>
      </c>
      <c r="F26" s="43" t="s">
        <v>72</v>
      </c>
      <c r="G26" s="43">
        <v>1</v>
      </c>
      <c r="H26" s="64">
        <v>57</v>
      </c>
      <c r="I26" s="41" t="s">
        <v>73</v>
      </c>
      <c r="J26" s="41">
        <v>1</v>
      </c>
      <c r="K26" s="41">
        <v>14</v>
      </c>
      <c r="L26" s="62">
        <v>8</v>
      </c>
      <c r="M26" s="43" t="s">
        <v>73</v>
      </c>
      <c r="N26" s="43" t="s">
        <v>86</v>
      </c>
      <c r="O26" s="43"/>
      <c r="P26" s="64">
        <v>29</v>
      </c>
    </row>
    <row r="27" spans="1:16" s="10" customFormat="1" ht="12.75" x14ac:dyDescent="0.2">
      <c r="A27" s="15"/>
      <c r="B27" s="15"/>
      <c r="C27" s="16"/>
      <c r="D27" s="16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</row>
    <row r="28" spans="1:16" s="10" customFormat="1" ht="12.75" x14ac:dyDescent="0.2">
      <c r="A28" s="15" t="s">
        <v>42</v>
      </c>
      <c r="B28" s="15" t="s">
        <v>20</v>
      </c>
      <c r="C28" s="16">
        <f t="shared" si="0"/>
        <v>789</v>
      </c>
      <c r="D28" s="16">
        <v>70</v>
      </c>
      <c r="E28" s="43" t="s">
        <v>22</v>
      </c>
      <c r="F28" s="43" t="s">
        <v>21</v>
      </c>
      <c r="G28" s="43">
        <v>2</v>
      </c>
      <c r="H28" s="64">
        <v>350</v>
      </c>
      <c r="I28" s="41" t="s">
        <v>22</v>
      </c>
      <c r="J28" s="41">
        <v>4</v>
      </c>
      <c r="K28" s="41">
        <v>50</v>
      </c>
      <c r="L28" s="62">
        <v>175</v>
      </c>
      <c r="M28" s="43" t="s">
        <v>22</v>
      </c>
      <c r="N28" s="43"/>
      <c r="O28" s="43" t="s">
        <v>74</v>
      </c>
      <c r="P28" s="64">
        <v>264</v>
      </c>
    </row>
    <row r="29" spans="1:16" s="10" customFormat="1" ht="12.75" x14ac:dyDescent="0.2">
      <c r="A29" s="15" t="s">
        <v>45</v>
      </c>
      <c r="B29" s="15" t="s">
        <v>30</v>
      </c>
      <c r="C29" s="16">
        <f t="shared" si="0"/>
        <v>492</v>
      </c>
      <c r="D29" s="16">
        <v>59</v>
      </c>
      <c r="E29" s="43" t="s">
        <v>68</v>
      </c>
      <c r="F29" s="43" t="s">
        <v>21</v>
      </c>
      <c r="G29" s="43">
        <v>2</v>
      </c>
      <c r="H29" s="64">
        <v>264</v>
      </c>
      <c r="I29" s="41" t="s">
        <v>68</v>
      </c>
      <c r="J29" s="41">
        <v>2</v>
      </c>
      <c r="K29" s="41">
        <v>29</v>
      </c>
      <c r="L29" s="62">
        <v>76</v>
      </c>
      <c r="M29" s="43" t="s">
        <v>69</v>
      </c>
      <c r="N29" s="43"/>
      <c r="O29" s="43" t="s">
        <v>77</v>
      </c>
      <c r="P29" s="64">
        <v>152</v>
      </c>
    </row>
    <row r="30" spans="1:16" s="10" customFormat="1" ht="12.75" x14ac:dyDescent="0.2">
      <c r="A30" s="15" t="s">
        <v>44</v>
      </c>
      <c r="B30" s="15" t="s">
        <v>30</v>
      </c>
      <c r="C30" s="16">
        <f t="shared" si="0"/>
        <v>492</v>
      </c>
      <c r="D30" s="16">
        <v>59</v>
      </c>
      <c r="E30" s="43" t="s">
        <v>68</v>
      </c>
      <c r="F30" s="43" t="s">
        <v>21</v>
      </c>
      <c r="G30" s="43">
        <v>2</v>
      </c>
      <c r="H30" s="64">
        <v>264</v>
      </c>
      <c r="I30" s="41" t="s">
        <v>68</v>
      </c>
      <c r="J30" s="41">
        <v>2</v>
      </c>
      <c r="K30" s="41">
        <v>29</v>
      </c>
      <c r="L30" s="62">
        <v>76</v>
      </c>
      <c r="M30" s="43" t="s">
        <v>69</v>
      </c>
      <c r="N30" s="43"/>
      <c r="O30" s="43" t="s">
        <v>77</v>
      </c>
      <c r="P30" s="64">
        <v>152</v>
      </c>
    </row>
    <row r="31" spans="1:16" s="10" customFormat="1" ht="12.75" x14ac:dyDescent="0.2">
      <c r="A31" s="15" t="s">
        <v>46</v>
      </c>
      <c r="B31" s="15" t="s">
        <v>32</v>
      </c>
      <c r="C31" s="16">
        <f t="shared" si="0"/>
        <v>99</v>
      </c>
      <c r="D31" s="16">
        <v>42</v>
      </c>
      <c r="E31" s="43" t="s">
        <v>73</v>
      </c>
      <c r="F31" s="43" t="s">
        <v>72</v>
      </c>
      <c r="G31" s="43">
        <v>1</v>
      </c>
      <c r="H31" s="64">
        <v>57</v>
      </c>
      <c r="I31" s="41" t="s">
        <v>73</v>
      </c>
      <c r="J31" s="41">
        <v>2</v>
      </c>
      <c r="K31" s="41">
        <v>16</v>
      </c>
      <c r="L31" s="62">
        <v>9</v>
      </c>
      <c r="M31" s="43" t="s">
        <v>73</v>
      </c>
      <c r="N31" s="43"/>
      <c r="O31" s="43" t="s">
        <v>76</v>
      </c>
      <c r="P31" s="64">
        <v>33</v>
      </c>
    </row>
    <row r="32" spans="1:16" s="10" customFormat="1" ht="12.75" x14ac:dyDescent="0.2">
      <c r="A32" s="15"/>
      <c r="B32" s="15"/>
      <c r="C32" s="16"/>
      <c r="D32" s="16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</row>
    <row r="33" spans="1:16" s="10" customFormat="1" ht="12.75" x14ac:dyDescent="0.2">
      <c r="A33" s="15" t="s">
        <v>47</v>
      </c>
      <c r="B33" s="15" t="s">
        <v>20</v>
      </c>
      <c r="C33" s="16">
        <f t="shared" si="0"/>
        <v>702</v>
      </c>
      <c r="D33" s="16">
        <v>67</v>
      </c>
      <c r="E33" s="43" t="s">
        <v>22</v>
      </c>
      <c r="F33" s="43" t="s">
        <v>21</v>
      </c>
      <c r="G33" s="43">
        <v>2</v>
      </c>
      <c r="H33" s="64">
        <v>350</v>
      </c>
      <c r="I33" s="41" t="s">
        <v>68</v>
      </c>
      <c r="J33" s="41">
        <v>4</v>
      </c>
      <c r="K33" s="41">
        <v>43</v>
      </c>
      <c r="L33" s="62">
        <v>152</v>
      </c>
      <c r="M33" s="43" t="s">
        <v>22</v>
      </c>
      <c r="N33" s="43"/>
      <c r="O33" s="43" t="s">
        <v>75</v>
      </c>
      <c r="P33" s="64">
        <v>200</v>
      </c>
    </row>
    <row r="34" spans="1:16" s="10" customFormat="1" ht="12.75" x14ac:dyDescent="0.2">
      <c r="A34" s="15" t="s">
        <v>48</v>
      </c>
      <c r="B34" s="15" t="s">
        <v>31</v>
      </c>
      <c r="C34" s="16">
        <f t="shared" si="0"/>
        <v>182</v>
      </c>
      <c r="D34" s="16">
        <v>46</v>
      </c>
      <c r="E34" s="43" t="s">
        <v>70</v>
      </c>
      <c r="F34" s="43" t="s">
        <v>71</v>
      </c>
      <c r="G34" s="43">
        <v>2</v>
      </c>
      <c r="H34" s="64">
        <v>115</v>
      </c>
      <c r="I34" s="41" t="s">
        <v>70</v>
      </c>
      <c r="J34" s="41">
        <v>3</v>
      </c>
      <c r="K34" s="41">
        <v>25</v>
      </c>
      <c r="L34" s="62">
        <v>29</v>
      </c>
      <c r="M34" s="43" t="s">
        <v>70</v>
      </c>
      <c r="N34" s="43" t="s">
        <v>86</v>
      </c>
      <c r="O34" s="43"/>
      <c r="P34" s="64">
        <v>38</v>
      </c>
    </row>
    <row r="35" spans="1:16" s="10" customFormat="1" ht="12.75" x14ac:dyDescent="0.2">
      <c r="A35" s="15" t="s">
        <v>49</v>
      </c>
      <c r="B35" s="15" t="s">
        <v>32</v>
      </c>
      <c r="C35" s="16">
        <f t="shared" si="0"/>
        <v>95</v>
      </c>
      <c r="D35" s="16">
        <v>42</v>
      </c>
      <c r="E35" s="43" t="s">
        <v>73</v>
      </c>
      <c r="F35" s="43" t="s">
        <v>72</v>
      </c>
      <c r="G35" s="43">
        <v>1</v>
      </c>
      <c r="H35" s="64">
        <v>57</v>
      </c>
      <c r="I35" s="41" t="s">
        <v>73</v>
      </c>
      <c r="J35" s="41">
        <v>2</v>
      </c>
      <c r="K35" s="41">
        <v>16</v>
      </c>
      <c r="L35" s="62">
        <v>9</v>
      </c>
      <c r="M35" s="43" t="s">
        <v>73</v>
      </c>
      <c r="N35" s="43" t="s">
        <v>86</v>
      </c>
      <c r="O35" s="43"/>
      <c r="P35" s="64">
        <v>29</v>
      </c>
    </row>
    <row r="36" spans="1:16" s="10" customFormat="1" ht="12.75" x14ac:dyDescent="0.2">
      <c r="A36" s="15"/>
      <c r="B36" s="15"/>
      <c r="C36" s="16"/>
      <c r="D36" s="16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</row>
    <row r="37" spans="1:16" s="10" customFormat="1" ht="12.75" x14ac:dyDescent="0.2">
      <c r="A37" s="15" t="s">
        <v>50</v>
      </c>
      <c r="B37" s="15" t="s">
        <v>20</v>
      </c>
      <c r="C37" s="16">
        <f t="shared" si="0"/>
        <v>789</v>
      </c>
      <c r="D37" s="16">
        <v>70</v>
      </c>
      <c r="E37" s="43" t="s">
        <v>22</v>
      </c>
      <c r="F37" s="43" t="s">
        <v>21</v>
      </c>
      <c r="G37" s="43">
        <v>2</v>
      </c>
      <c r="H37" s="64">
        <v>350</v>
      </c>
      <c r="I37" s="41" t="s">
        <v>22</v>
      </c>
      <c r="J37" s="41">
        <v>4</v>
      </c>
      <c r="K37" s="41">
        <v>50</v>
      </c>
      <c r="L37" s="62">
        <v>175</v>
      </c>
      <c r="M37" s="43" t="s">
        <v>22</v>
      </c>
      <c r="N37" s="43"/>
      <c r="O37" s="43" t="s">
        <v>74</v>
      </c>
      <c r="P37" s="64">
        <v>264</v>
      </c>
    </row>
    <row r="38" spans="1:16" s="10" customFormat="1" ht="12.75" x14ac:dyDescent="0.2">
      <c r="A38" s="15" t="s">
        <v>51</v>
      </c>
      <c r="B38" s="15" t="s">
        <v>30</v>
      </c>
      <c r="C38" s="16">
        <f t="shared" si="0"/>
        <v>503</v>
      </c>
      <c r="D38" s="16">
        <v>59</v>
      </c>
      <c r="E38" s="43" t="s">
        <v>68</v>
      </c>
      <c r="F38" s="43" t="s">
        <v>21</v>
      </c>
      <c r="G38" s="43">
        <v>2</v>
      </c>
      <c r="H38" s="64">
        <v>264</v>
      </c>
      <c r="I38" s="41" t="s">
        <v>68</v>
      </c>
      <c r="J38" s="41">
        <v>3</v>
      </c>
      <c r="K38" s="41">
        <v>33</v>
      </c>
      <c r="L38" s="62">
        <v>87</v>
      </c>
      <c r="M38" s="43" t="s">
        <v>69</v>
      </c>
      <c r="N38" s="43"/>
      <c r="O38" s="43" t="s">
        <v>77</v>
      </c>
      <c r="P38" s="64">
        <v>152</v>
      </c>
    </row>
    <row r="39" spans="1:16" s="10" customFormat="1" ht="12.75" x14ac:dyDescent="0.2">
      <c r="A39" s="15" t="s">
        <v>52</v>
      </c>
      <c r="B39" s="15" t="s">
        <v>31</v>
      </c>
      <c r="C39" s="16">
        <f t="shared" si="0"/>
        <v>187</v>
      </c>
      <c r="D39" s="16">
        <v>46</v>
      </c>
      <c r="E39" s="41" t="s">
        <v>70</v>
      </c>
      <c r="F39" s="41" t="s">
        <v>71</v>
      </c>
      <c r="G39" s="41">
        <v>2</v>
      </c>
      <c r="H39" s="62">
        <v>115</v>
      </c>
      <c r="I39" s="41" t="s">
        <v>70</v>
      </c>
      <c r="J39" s="41">
        <v>2</v>
      </c>
      <c r="K39" s="41">
        <v>19</v>
      </c>
      <c r="L39" s="62">
        <v>22</v>
      </c>
      <c r="M39" s="43" t="s">
        <v>70</v>
      </c>
      <c r="N39" s="43"/>
      <c r="O39" s="43" t="s">
        <v>76</v>
      </c>
      <c r="P39" s="64">
        <v>50</v>
      </c>
    </row>
    <row r="40" spans="1:16" s="10" customFormat="1" ht="12.75" x14ac:dyDescent="0.2">
      <c r="A40" s="15" t="s">
        <v>53</v>
      </c>
      <c r="B40" s="15" t="s">
        <v>32</v>
      </c>
      <c r="C40" s="16">
        <f t="shared" si="0"/>
        <v>99</v>
      </c>
      <c r="D40" s="16">
        <v>42</v>
      </c>
      <c r="E40" s="43" t="s">
        <v>73</v>
      </c>
      <c r="F40" s="43" t="s">
        <v>72</v>
      </c>
      <c r="G40" s="43">
        <v>1</v>
      </c>
      <c r="H40" s="64">
        <v>57</v>
      </c>
      <c r="I40" s="41" t="s">
        <v>73</v>
      </c>
      <c r="J40" s="41">
        <v>2</v>
      </c>
      <c r="K40" s="41">
        <v>16</v>
      </c>
      <c r="L40" s="62">
        <v>9</v>
      </c>
      <c r="M40" s="43" t="s">
        <v>73</v>
      </c>
      <c r="N40" s="43"/>
      <c r="O40" s="43" t="s">
        <v>76</v>
      </c>
      <c r="P40" s="64">
        <v>33</v>
      </c>
    </row>
    <row r="41" spans="1:16" s="10" customFormat="1" ht="12.75" x14ac:dyDescent="0.2">
      <c r="A41" s="15"/>
      <c r="B41" s="15"/>
      <c r="C41" s="16"/>
      <c r="D41" s="16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</row>
    <row r="42" spans="1:16" s="10" customFormat="1" ht="12.75" x14ac:dyDescent="0.2">
      <c r="A42" s="15" t="s">
        <v>54</v>
      </c>
      <c r="B42" s="15" t="s">
        <v>20</v>
      </c>
      <c r="C42" s="16">
        <f t="shared" si="0"/>
        <v>695</v>
      </c>
      <c r="D42" s="16">
        <v>66</v>
      </c>
      <c r="E42" s="43" t="s">
        <v>22</v>
      </c>
      <c r="F42" s="43" t="s">
        <v>21</v>
      </c>
      <c r="G42" s="43">
        <v>2</v>
      </c>
      <c r="H42" s="64">
        <v>350</v>
      </c>
      <c r="I42" s="41" t="s">
        <v>68</v>
      </c>
      <c r="J42" s="41">
        <v>3</v>
      </c>
      <c r="K42" s="41">
        <v>33</v>
      </c>
      <c r="L42" s="62">
        <v>115</v>
      </c>
      <c r="M42" s="43" t="s">
        <v>22</v>
      </c>
      <c r="N42" s="43"/>
      <c r="O42" s="43" t="s">
        <v>126</v>
      </c>
      <c r="P42" s="64">
        <v>230</v>
      </c>
    </row>
    <row r="43" spans="1:16" s="10" customFormat="1" ht="12.75" x14ac:dyDescent="0.2">
      <c r="A43" s="15" t="s">
        <v>55</v>
      </c>
      <c r="B43" s="15" t="s">
        <v>31</v>
      </c>
      <c r="C43" s="16">
        <f t="shared" si="0"/>
        <v>203</v>
      </c>
      <c r="D43" s="16">
        <v>47</v>
      </c>
      <c r="E43" s="41" t="s">
        <v>70</v>
      </c>
      <c r="F43" s="41" t="s">
        <v>71</v>
      </c>
      <c r="G43" s="41">
        <v>2</v>
      </c>
      <c r="H43" s="62">
        <v>115</v>
      </c>
      <c r="I43" s="41" t="s">
        <v>70</v>
      </c>
      <c r="J43" s="41">
        <v>2</v>
      </c>
      <c r="K43" s="41">
        <v>19</v>
      </c>
      <c r="L43" s="62">
        <v>22</v>
      </c>
      <c r="M43" s="43" t="s">
        <v>70</v>
      </c>
      <c r="N43" s="43"/>
      <c r="O43" s="43" t="s">
        <v>126</v>
      </c>
      <c r="P43" s="64">
        <v>66</v>
      </c>
    </row>
    <row r="44" spans="1:16" s="10" customFormat="1" ht="12.75" x14ac:dyDescent="0.2">
      <c r="A44" s="15" t="s">
        <v>56</v>
      </c>
      <c r="B44" s="15" t="s">
        <v>32</v>
      </c>
      <c r="C44" s="16">
        <f t="shared" si="0"/>
        <v>90</v>
      </c>
      <c r="D44" s="16">
        <v>42</v>
      </c>
      <c r="E44" s="43" t="s">
        <v>73</v>
      </c>
      <c r="F44" s="43" t="s">
        <v>72</v>
      </c>
      <c r="G44" s="43">
        <v>1</v>
      </c>
      <c r="H44" s="64">
        <v>57</v>
      </c>
      <c r="I44" s="41" t="s">
        <v>73</v>
      </c>
      <c r="J44" s="41">
        <v>1</v>
      </c>
      <c r="K44" s="41">
        <v>14</v>
      </c>
      <c r="L44" s="62">
        <v>8</v>
      </c>
      <c r="M44" s="43" t="s">
        <v>73</v>
      </c>
      <c r="N44" s="43"/>
      <c r="O44" s="43" t="s">
        <v>79</v>
      </c>
      <c r="P44" s="64">
        <v>25</v>
      </c>
    </row>
    <row r="45" spans="1:16" s="10" customFormat="1" ht="12.75" x14ac:dyDescent="0.2">
      <c r="A45" s="15"/>
      <c r="B45" s="15"/>
      <c r="C45" s="16"/>
      <c r="D45" s="16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</row>
    <row r="46" spans="1:16" s="10" customFormat="1" ht="12.75" x14ac:dyDescent="0.2">
      <c r="A46" s="15" t="s">
        <v>57</v>
      </c>
      <c r="B46" s="15" t="s">
        <v>20</v>
      </c>
      <c r="C46" s="16">
        <f t="shared" si="0"/>
        <v>702</v>
      </c>
      <c r="D46" s="16">
        <v>68</v>
      </c>
      <c r="E46" s="43" t="s">
        <v>22</v>
      </c>
      <c r="F46" s="43" t="s">
        <v>21</v>
      </c>
      <c r="G46" s="43">
        <v>3</v>
      </c>
      <c r="H46" s="66">
        <v>350</v>
      </c>
      <c r="I46" s="41" t="s">
        <v>68</v>
      </c>
      <c r="J46" s="41">
        <v>4</v>
      </c>
      <c r="K46" s="41">
        <v>43</v>
      </c>
      <c r="L46" s="65">
        <v>152</v>
      </c>
      <c r="M46" s="43" t="s">
        <v>22</v>
      </c>
      <c r="N46" s="43" t="s">
        <v>125</v>
      </c>
      <c r="O46" s="43"/>
      <c r="P46" s="64">
        <v>200</v>
      </c>
    </row>
    <row r="47" spans="1:16" s="10" customFormat="1" ht="12.75" x14ac:dyDescent="0.2">
      <c r="A47" s="15" t="s">
        <v>58</v>
      </c>
      <c r="B47" s="15" t="s">
        <v>30</v>
      </c>
      <c r="C47" s="16">
        <f t="shared" si="0"/>
        <v>417</v>
      </c>
      <c r="D47" s="16">
        <v>55</v>
      </c>
      <c r="E47" s="43" t="s">
        <v>68</v>
      </c>
      <c r="F47" s="43" t="s">
        <v>21</v>
      </c>
      <c r="G47" s="43">
        <v>3</v>
      </c>
      <c r="H47" s="64">
        <v>264</v>
      </c>
      <c r="I47" s="41" t="s">
        <v>69</v>
      </c>
      <c r="J47" s="41">
        <v>3</v>
      </c>
      <c r="K47" s="41">
        <v>33</v>
      </c>
      <c r="L47" s="62">
        <v>87</v>
      </c>
      <c r="M47" s="43" t="s">
        <v>69</v>
      </c>
      <c r="N47" s="43" t="s">
        <v>125</v>
      </c>
      <c r="O47" s="43"/>
      <c r="P47" s="64">
        <v>66</v>
      </c>
    </row>
    <row r="48" spans="1:16" s="10" customFormat="1" ht="12.75" x14ac:dyDescent="0.2">
      <c r="A48" s="15" t="s">
        <v>59</v>
      </c>
      <c r="B48" s="15" t="s">
        <v>30</v>
      </c>
      <c r="C48" s="16">
        <f t="shared" si="0"/>
        <v>408</v>
      </c>
      <c r="D48" s="16">
        <v>55</v>
      </c>
      <c r="E48" s="43" t="s">
        <v>68</v>
      </c>
      <c r="F48" s="43" t="s">
        <v>21</v>
      </c>
      <c r="G48" s="43">
        <v>2</v>
      </c>
      <c r="H48" s="64">
        <v>264</v>
      </c>
      <c r="I48" s="41" t="s">
        <v>69</v>
      </c>
      <c r="J48" s="41">
        <v>3</v>
      </c>
      <c r="K48" s="41">
        <v>33</v>
      </c>
      <c r="L48" s="62">
        <v>87</v>
      </c>
      <c r="M48" s="43" t="s">
        <v>69</v>
      </c>
      <c r="N48" s="43" t="s">
        <v>86</v>
      </c>
      <c r="O48" s="43"/>
      <c r="P48" s="64">
        <v>57</v>
      </c>
    </row>
    <row r="49" spans="1:16" s="10" customFormat="1" ht="12.75" x14ac:dyDescent="0.2">
      <c r="A49" s="15" t="s">
        <v>60</v>
      </c>
      <c r="B49" s="15" t="s">
        <v>30</v>
      </c>
      <c r="C49" s="16">
        <f t="shared" si="0"/>
        <v>408</v>
      </c>
      <c r="D49" s="16">
        <v>55</v>
      </c>
      <c r="E49" s="43" t="s">
        <v>68</v>
      </c>
      <c r="F49" s="43" t="s">
        <v>21</v>
      </c>
      <c r="G49" s="43">
        <v>2</v>
      </c>
      <c r="H49" s="64">
        <v>264</v>
      </c>
      <c r="I49" s="41" t="s">
        <v>69</v>
      </c>
      <c r="J49" s="41">
        <v>3</v>
      </c>
      <c r="K49" s="41">
        <v>33</v>
      </c>
      <c r="L49" s="62">
        <v>87</v>
      </c>
      <c r="M49" s="43" t="s">
        <v>69</v>
      </c>
      <c r="N49" s="43" t="s">
        <v>86</v>
      </c>
      <c r="O49" s="43"/>
      <c r="P49" s="64">
        <v>57</v>
      </c>
    </row>
    <row r="50" spans="1:16" s="10" customFormat="1" ht="12.75" x14ac:dyDescent="0.2">
      <c r="A50" s="15" t="s">
        <v>61</v>
      </c>
      <c r="B50" s="15" t="s">
        <v>31</v>
      </c>
      <c r="C50" s="16">
        <f t="shared" si="0"/>
        <v>166</v>
      </c>
      <c r="D50" s="16">
        <v>45</v>
      </c>
      <c r="E50" s="41" t="s">
        <v>70</v>
      </c>
      <c r="F50" s="41" t="s">
        <v>71</v>
      </c>
      <c r="G50" s="41">
        <v>2</v>
      </c>
      <c r="H50" s="62">
        <v>115</v>
      </c>
      <c r="I50" s="41" t="s">
        <v>70</v>
      </c>
      <c r="J50" s="41">
        <v>2</v>
      </c>
      <c r="K50" s="41">
        <v>19</v>
      </c>
      <c r="L50" s="62">
        <v>22</v>
      </c>
      <c r="M50" s="43" t="s">
        <v>70</v>
      </c>
      <c r="N50" s="43"/>
      <c r="O50" s="43" t="s">
        <v>78</v>
      </c>
      <c r="P50" s="64">
        <v>29</v>
      </c>
    </row>
    <row r="51" spans="1:16" s="10" customFormat="1" ht="20.25" customHeight="1" x14ac:dyDescent="0.2">
      <c r="A51" s="15" t="s">
        <v>62</v>
      </c>
      <c r="B51" s="15" t="s">
        <v>32</v>
      </c>
      <c r="C51" s="16">
        <f t="shared" si="0"/>
        <v>87</v>
      </c>
      <c r="D51" s="16">
        <v>42</v>
      </c>
      <c r="E51" s="43" t="s">
        <v>73</v>
      </c>
      <c r="F51" s="43" t="s">
        <v>72</v>
      </c>
      <c r="G51" s="43">
        <v>1</v>
      </c>
      <c r="H51" s="64">
        <v>57</v>
      </c>
      <c r="I51" s="41" t="s">
        <v>73</v>
      </c>
      <c r="J51" s="41">
        <v>1</v>
      </c>
      <c r="K51" s="41">
        <v>14</v>
      </c>
      <c r="L51" s="62">
        <v>8</v>
      </c>
      <c r="M51" s="43" t="s">
        <v>73</v>
      </c>
      <c r="N51" s="43" t="s">
        <v>87</v>
      </c>
      <c r="O51" s="43"/>
      <c r="P51" s="64">
        <v>22</v>
      </c>
    </row>
    <row r="52" spans="1:16" s="10" customFormat="1" ht="20.25" customHeight="1" x14ac:dyDescent="0.2">
      <c r="A52" s="15" t="s">
        <v>63</v>
      </c>
      <c r="B52" s="15" t="s">
        <v>32</v>
      </c>
      <c r="C52" s="16">
        <f t="shared" si="0"/>
        <v>87</v>
      </c>
      <c r="D52" s="16">
        <v>42</v>
      </c>
      <c r="E52" s="43" t="s">
        <v>73</v>
      </c>
      <c r="F52" s="43" t="s">
        <v>72</v>
      </c>
      <c r="G52" s="43">
        <v>1</v>
      </c>
      <c r="H52" s="64">
        <v>57</v>
      </c>
      <c r="I52" s="41" t="s">
        <v>73</v>
      </c>
      <c r="J52" s="41">
        <v>1</v>
      </c>
      <c r="K52" s="41">
        <v>14</v>
      </c>
      <c r="L52" s="62">
        <v>8</v>
      </c>
      <c r="M52" s="43" t="s">
        <v>73</v>
      </c>
      <c r="N52" s="43" t="s">
        <v>87</v>
      </c>
      <c r="O52" s="43"/>
      <c r="P52" s="64">
        <v>22</v>
      </c>
    </row>
    <row r="53" spans="1:16" s="10" customFormat="1" ht="20.25" customHeight="1" x14ac:dyDescent="0.2">
      <c r="A53" s="15" t="s">
        <v>64</v>
      </c>
      <c r="B53" s="15" t="s">
        <v>32</v>
      </c>
      <c r="C53" s="16">
        <f t="shared" si="0"/>
        <v>95</v>
      </c>
      <c r="D53" s="16">
        <v>42</v>
      </c>
      <c r="E53" s="43" t="s">
        <v>73</v>
      </c>
      <c r="F53" s="43" t="s">
        <v>72</v>
      </c>
      <c r="G53" s="43">
        <v>1</v>
      </c>
      <c r="H53" s="64">
        <v>57</v>
      </c>
      <c r="I53" s="41" t="s">
        <v>73</v>
      </c>
      <c r="J53" s="41">
        <v>2</v>
      </c>
      <c r="K53" s="41">
        <v>16</v>
      </c>
      <c r="L53" s="62">
        <v>9</v>
      </c>
      <c r="M53" s="43" t="s">
        <v>73</v>
      </c>
      <c r="N53" s="43"/>
      <c r="O53" s="43" t="s">
        <v>79</v>
      </c>
      <c r="P53" s="64">
        <v>29</v>
      </c>
    </row>
    <row r="54" spans="1:16" s="10" customFormat="1" ht="20.25" customHeight="1" x14ac:dyDescent="0.2">
      <c r="A54" s="15" t="s">
        <v>65</v>
      </c>
      <c r="B54" s="15" t="s">
        <v>31</v>
      </c>
      <c r="C54" s="16">
        <f t="shared" si="0"/>
        <v>166</v>
      </c>
      <c r="D54" s="16">
        <v>45</v>
      </c>
      <c r="E54" s="41" t="s">
        <v>70</v>
      </c>
      <c r="F54" s="41" t="s">
        <v>71</v>
      </c>
      <c r="G54" s="41">
        <v>2</v>
      </c>
      <c r="H54" s="62">
        <v>115</v>
      </c>
      <c r="I54" s="41" t="s">
        <v>70</v>
      </c>
      <c r="J54" s="41">
        <v>2</v>
      </c>
      <c r="K54" s="41">
        <v>19</v>
      </c>
      <c r="L54" s="62">
        <v>22</v>
      </c>
      <c r="M54" s="43" t="s">
        <v>70</v>
      </c>
      <c r="N54" s="43" t="s">
        <v>87</v>
      </c>
      <c r="O54" s="43"/>
      <c r="P54" s="64">
        <v>29</v>
      </c>
    </row>
    <row r="55" spans="1:16" s="10" customFormat="1" ht="20.25" customHeight="1" x14ac:dyDescent="0.2">
      <c r="A55" s="15" t="s">
        <v>66</v>
      </c>
      <c r="B55" s="15" t="s">
        <v>32</v>
      </c>
      <c r="C55" s="16">
        <f t="shared" si="0"/>
        <v>84</v>
      </c>
      <c r="D55" s="16">
        <v>42</v>
      </c>
      <c r="E55" s="43" t="s">
        <v>73</v>
      </c>
      <c r="F55" s="43" t="s">
        <v>72</v>
      </c>
      <c r="G55" s="43">
        <v>1</v>
      </c>
      <c r="H55" s="64">
        <v>57</v>
      </c>
      <c r="I55" s="41" t="s">
        <v>73</v>
      </c>
      <c r="J55" s="41">
        <v>1</v>
      </c>
      <c r="K55" s="41">
        <v>14</v>
      </c>
      <c r="L55" s="62">
        <v>8</v>
      </c>
      <c r="M55" s="43" t="s">
        <v>73</v>
      </c>
      <c r="N55" s="43" t="s">
        <v>87</v>
      </c>
      <c r="O55" s="43"/>
      <c r="P55" s="64">
        <v>19</v>
      </c>
    </row>
    <row r="56" spans="1:16" s="10" customFormat="1" x14ac:dyDescent="0.2">
      <c r="A56" s="15"/>
      <c r="B56" s="15"/>
      <c r="C56" s="16"/>
      <c r="D56" s="17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</row>
    <row r="57" spans="1:16" s="10" customFormat="1" x14ac:dyDescent="0.2">
      <c r="A57" s="15"/>
      <c r="B57" s="15"/>
      <c r="C57" s="16"/>
      <c r="D57" s="17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</row>
    <row r="58" spans="1:16" s="10" customFormat="1" x14ac:dyDescent="0.2">
      <c r="A58" s="15"/>
      <c r="B58" s="15"/>
      <c r="C58" s="16"/>
      <c r="D58" s="17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</row>
    <row r="59" spans="1:16" s="10" customFormat="1" ht="20.25" customHeight="1" x14ac:dyDescent="0.2">
      <c r="A59" s="15"/>
      <c r="B59" s="15"/>
      <c r="C59" s="16"/>
      <c r="D59" s="17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</row>
    <row r="60" spans="1:16" s="10" customFormat="1" x14ac:dyDescent="0.2">
      <c r="A60" s="15"/>
      <c r="B60" s="15"/>
      <c r="C60" s="16"/>
      <c r="D60" s="17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</row>
    <row r="61" spans="1:16" s="10" customFormat="1" x14ac:dyDescent="0.2">
      <c r="A61" s="15"/>
      <c r="B61" s="15"/>
      <c r="C61" s="16"/>
      <c r="D61" s="17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</row>
    <row r="62" spans="1:16" s="10" customFormat="1" x14ac:dyDescent="0.2">
      <c r="A62" s="15"/>
      <c r="B62" s="15"/>
      <c r="C62" s="16"/>
      <c r="D62" s="17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</row>
    <row r="63" spans="1:16" s="10" customFormat="1" x14ac:dyDescent="0.2">
      <c r="A63" s="15"/>
      <c r="B63" s="15"/>
      <c r="C63" s="16"/>
      <c r="D63" s="17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</row>
    <row r="64" spans="1:16" s="10" customFormat="1" x14ac:dyDescent="0.2">
      <c r="A64" s="15"/>
      <c r="B64" s="15"/>
      <c r="C64" s="16"/>
      <c r="D64" s="17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</row>
    <row r="65" spans="1:16" s="19" customFormat="1" x14ac:dyDescent="0.2">
      <c r="A65" s="20"/>
      <c r="B65" s="21"/>
      <c r="C65" s="20"/>
      <c r="D65" s="22"/>
      <c r="E65" s="26"/>
      <c r="F65" s="27"/>
      <c r="G65" s="27"/>
      <c r="H65" s="27"/>
      <c r="I65" s="26"/>
      <c r="J65" s="27"/>
      <c r="K65" s="27"/>
      <c r="L65" s="28"/>
      <c r="M65" s="27"/>
      <c r="N65" s="27"/>
      <c r="O65" s="26"/>
      <c r="P65" s="27"/>
    </row>
    <row r="66" spans="1:16" s="19" customFormat="1" x14ac:dyDescent="0.2">
      <c r="A66" s="20"/>
      <c r="B66" s="21"/>
      <c r="C66" s="20"/>
      <c r="D66" s="22"/>
      <c r="E66" s="26"/>
      <c r="F66" s="27"/>
      <c r="G66" s="27"/>
      <c r="H66" s="27"/>
      <c r="I66" s="26"/>
      <c r="J66" s="27"/>
      <c r="K66" s="27"/>
      <c r="L66" s="28"/>
      <c r="M66" s="27"/>
      <c r="N66" s="27"/>
      <c r="O66" s="26"/>
      <c r="P66" s="27"/>
    </row>
    <row r="67" spans="1:16" s="19" customFormat="1" x14ac:dyDescent="0.2">
      <c r="A67" s="20"/>
      <c r="B67" s="21"/>
      <c r="C67" s="20"/>
      <c r="D67" s="22"/>
      <c r="E67" s="26"/>
      <c r="F67" s="27"/>
      <c r="G67" s="27"/>
      <c r="H67" s="27"/>
      <c r="I67" s="26"/>
      <c r="J67" s="27"/>
      <c r="K67" s="27"/>
      <c r="L67" s="28"/>
      <c r="M67" s="27"/>
      <c r="N67" s="27"/>
      <c r="O67" s="26"/>
      <c r="P67" s="27"/>
    </row>
    <row r="68" spans="1:16" s="19" customFormat="1" x14ac:dyDescent="0.2">
      <c r="A68" s="20"/>
      <c r="B68" s="21"/>
      <c r="C68" s="20"/>
      <c r="D68" s="22"/>
      <c r="E68" s="26"/>
      <c r="F68" s="27"/>
      <c r="G68" s="27"/>
      <c r="H68" s="27"/>
      <c r="I68" s="26"/>
      <c r="J68" s="27"/>
      <c r="K68" s="27"/>
      <c r="L68" s="28"/>
      <c r="M68" s="27"/>
      <c r="N68" s="27"/>
      <c r="O68" s="26"/>
      <c r="P68" s="27"/>
    </row>
    <row r="69" spans="1:16" s="19" customFormat="1" x14ac:dyDescent="0.2">
      <c r="A69" s="20"/>
      <c r="B69" s="21"/>
      <c r="C69" s="20"/>
      <c r="D69" s="22"/>
      <c r="E69" s="26"/>
      <c r="F69" s="27"/>
      <c r="G69" s="27"/>
      <c r="H69" s="27"/>
      <c r="I69" s="26"/>
      <c r="J69" s="27"/>
      <c r="K69" s="27"/>
      <c r="L69" s="28"/>
      <c r="M69" s="27"/>
      <c r="N69" s="27"/>
      <c r="O69" s="26"/>
      <c r="P69" s="27"/>
    </row>
    <row r="70" spans="1:16" s="19" customFormat="1" x14ac:dyDescent="0.2">
      <c r="A70" s="20"/>
      <c r="B70" s="21"/>
      <c r="C70" s="20"/>
      <c r="D70" s="22"/>
      <c r="E70" s="26"/>
      <c r="F70" s="27"/>
      <c r="G70" s="27"/>
      <c r="H70" s="27"/>
      <c r="I70" s="26"/>
      <c r="J70" s="27"/>
      <c r="K70" s="27"/>
      <c r="L70" s="28"/>
      <c r="M70" s="27"/>
      <c r="N70" s="27"/>
      <c r="O70" s="26"/>
      <c r="P70" s="27"/>
    </row>
    <row r="71" spans="1:16" s="19" customFormat="1" x14ac:dyDescent="0.2">
      <c r="A71" s="20"/>
      <c r="B71" s="21"/>
      <c r="C71" s="20"/>
      <c r="D71" s="22"/>
      <c r="E71" s="26"/>
      <c r="F71" s="27"/>
      <c r="G71" s="27"/>
      <c r="H71" s="27"/>
      <c r="I71" s="26"/>
      <c r="J71" s="27"/>
      <c r="K71" s="27"/>
      <c r="L71" s="28"/>
      <c r="M71" s="27"/>
      <c r="N71" s="27"/>
      <c r="O71" s="26"/>
      <c r="P71" s="27"/>
    </row>
    <row r="72" spans="1:16" s="19" customFormat="1" x14ac:dyDescent="0.2">
      <c r="A72" s="20"/>
      <c r="B72" s="21"/>
      <c r="C72" s="20"/>
      <c r="D72" s="22"/>
      <c r="E72" s="26"/>
      <c r="F72" s="27"/>
      <c r="G72" s="27"/>
      <c r="H72" s="27"/>
      <c r="I72" s="26"/>
      <c r="J72" s="27"/>
      <c r="K72" s="27"/>
      <c r="L72" s="28"/>
      <c r="M72" s="27"/>
      <c r="N72" s="27"/>
      <c r="O72" s="26"/>
      <c r="P72" s="27"/>
    </row>
    <row r="73" spans="1:16" s="19" customFormat="1" x14ac:dyDescent="0.2">
      <c r="A73" s="20"/>
      <c r="B73" s="21"/>
      <c r="C73" s="20"/>
      <c r="D73" s="22"/>
      <c r="E73" s="26"/>
      <c r="F73" s="27"/>
      <c r="G73" s="27"/>
      <c r="H73" s="27"/>
      <c r="I73" s="26"/>
      <c r="J73" s="27"/>
      <c r="K73" s="27"/>
      <c r="L73" s="28"/>
      <c r="M73" s="27"/>
      <c r="N73" s="27"/>
      <c r="O73" s="26"/>
      <c r="P73" s="27"/>
    </row>
    <row r="74" spans="1:16" s="19" customFormat="1" x14ac:dyDescent="0.2">
      <c r="A74" s="20"/>
      <c r="B74" s="21"/>
      <c r="C74" s="20"/>
      <c r="D74" s="22"/>
      <c r="E74" s="26"/>
      <c r="F74" s="27"/>
      <c r="G74" s="27"/>
      <c r="H74" s="27"/>
      <c r="I74" s="26"/>
      <c r="J74" s="27"/>
      <c r="K74" s="27"/>
      <c r="L74" s="28"/>
      <c r="M74" s="27"/>
      <c r="N74" s="27"/>
      <c r="O74" s="26"/>
      <c r="P74" s="27"/>
    </row>
    <row r="75" spans="1:16" s="19" customFormat="1" x14ac:dyDescent="0.2">
      <c r="A75" s="20"/>
      <c r="B75" s="21"/>
      <c r="C75" s="20"/>
      <c r="D75" s="22"/>
      <c r="E75" s="26"/>
      <c r="F75" s="27"/>
      <c r="G75" s="27"/>
      <c r="H75" s="27"/>
      <c r="I75" s="26"/>
      <c r="J75" s="27"/>
      <c r="K75" s="27"/>
      <c r="L75" s="28"/>
      <c r="M75" s="27"/>
      <c r="N75" s="27"/>
      <c r="O75" s="26"/>
      <c r="P75" s="27"/>
    </row>
    <row r="76" spans="1:16" s="19" customFormat="1" x14ac:dyDescent="0.2">
      <c r="A76" s="20"/>
      <c r="B76" s="21"/>
      <c r="C76" s="20"/>
      <c r="D76" s="22"/>
      <c r="E76" s="26"/>
      <c r="F76" s="27"/>
      <c r="G76" s="27"/>
      <c r="H76" s="27"/>
      <c r="I76" s="26"/>
      <c r="J76" s="27"/>
      <c r="K76" s="27"/>
      <c r="L76" s="28"/>
      <c r="M76" s="27"/>
      <c r="N76" s="27"/>
      <c r="O76" s="26"/>
      <c r="P76" s="27"/>
    </row>
    <row r="77" spans="1:16" s="19" customFormat="1" x14ac:dyDescent="0.2">
      <c r="A77" s="20"/>
      <c r="B77" s="21"/>
      <c r="C77" s="20"/>
      <c r="D77" s="22"/>
      <c r="E77" s="26"/>
      <c r="F77" s="27"/>
      <c r="G77" s="27"/>
      <c r="H77" s="27"/>
      <c r="I77" s="26"/>
      <c r="J77" s="27"/>
      <c r="K77" s="27"/>
      <c r="L77" s="28"/>
      <c r="M77" s="27"/>
      <c r="N77" s="27"/>
      <c r="O77" s="26"/>
      <c r="P77" s="27"/>
    </row>
    <row r="78" spans="1:16" s="19" customFormat="1" x14ac:dyDescent="0.2">
      <c r="A78" s="20"/>
      <c r="B78" s="21"/>
      <c r="C78" s="20"/>
      <c r="D78" s="22"/>
      <c r="E78" s="26"/>
      <c r="F78" s="27"/>
      <c r="G78" s="27"/>
      <c r="H78" s="27"/>
      <c r="I78" s="26"/>
      <c r="J78" s="27"/>
      <c r="K78" s="27"/>
      <c r="L78" s="28"/>
      <c r="M78" s="27"/>
      <c r="N78" s="27"/>
      <c r="O78" s="26"/>
      <c r="P78" s="27"/>
    </row>
    <row r="79" spans="1:16" x14ac:dyDescent="0.2">
      <c r="A79" s="7"/>
      <c r="B79" s="2"/>
      <c r="E79" s="29"/>
      <c r="F79" s="30"/>
      <c r="G79" s="30"/>
      <c r="H79" s="30"/>
      <c r="I79" s="29"/>
      <c r="J79" s="30"/>
      <c r="K79" s="30"/>
      <c r="L79" s="31"/>
      <c r="M79" s="30"/>
      <c r="N79" s="30"/>
      <c r="O79" s="29"/>
      <c r="P79" s="30"/>
    </row>
    <row r="80" spans="1:16" x14ac:dyDescent="0.2">
      <c r="A80" s="7"/>
      <c r="B80" s="2"/>
      <c r="E80" s="29"/>
      <c r="F80" s="30"/>
      <c r="G80" s="30"/>
      <c r="H80" s="30"/>
      <c r="I80" s="29"/>
      <c r="J80" s="30"/>
      <c r="K80" s="30"/>
      <c r="L80" s="31"/>
      <c r="M80" s="30"/>
      <c r="N80" s="30"/>
      <c r="O80" s="29"/>
      <c r="P80" s="30"/>
    </row>
    <row r="81" spans="1:16" x14ac:dyDescent="0.2">
      <c r="A81" s="7"/>
      <c r="B81" s="2"/>
      <c r="E81" s="29"/>
      <c r="F81" s="30"/>
      <c r="G81" s="30"/>
      <c r="H81" s="30"/>
      <c r="I81" s="29"/>
      <c r="J81" s="30"/>
      <c r="K81" s="30"/>
      <c r="L81" s="31"/>
      <c r="M81" s="30"/>
      <c r="N81" s="30"/>
      <c r="O81" s="29"/>
      <c r="P81" s="30"/>
    </row>
    <row r="82" spans="1:16" x14ac:dyDescent="0.2">
      <c r="A82" s="7"/>
      <c r="B82" s="2"/>
      <c r="E82" s="29"/>
      <c r="F82" s="30"/>
      <c r="G82" s="30"/>
      <c r="H82" s="30"/>
      <c r="I82" s="29"/>
      <c r="J82" s="30"/>
      <c r="K82" s="30"/>
      <c r="L82" s="31"/>
      <c r="M82" s="30"/>
      <c r="N82" s="30"/>
      <c r="O82" s="29"/>
      <c r="P82" s="30"/>
    </row>
    <row r="83" spans="1:16" x14ac:dyDescent="0.2">
      <c r="A83" s="7"/>
      <c r="B83" s="2"/>
      <c r="E83" s="29"/>
      <c r="F83" s="30"/>
      <c r="G83" s="30"/>
      <c r="H83" s="30"/>
      <c r="I83" s="29"/>
      <c r="J83" s="30"/>
      <c r="K83" s="30"/>
      <c r="L83" s="31"/>
      <c r="M83" s="30"/>
      <c r="N83" s="30"/>
      <c r="O83" s="29"/>
      <c r="P83" s="30"/>
    </row>
    <row r="84" spans="1:16" x14ac:dyDescent="0.2">
      <c r="A84" s="7"/>
      <c r="B84" s="2"/>
      <c r="E84" s="29"/>
      <c r="F84" s="30"/>
      <c r="G84" s="30"/>
      <c r="H84" s="30"/>
      <c r="I84" s="29"/>
      <c r="J84" s="30"/>
      <c r="K84" s="30"/>
      <c r="L84" s="31"/>
      <c r="M84" s="30"/>
      <c r="N84" s="30"/>
      <c r="O84" s="29"/>
      <c r="P84" s="30"/>
    </row>
    <row r="85" spans="1:16" x14ac:dyDescent="0.2">
      <c r="A85" s="7"/>
      <c r="B85" s="2"/>
      <c r="E85" s="29"/>
      <c r="F85" s="30"/>
      <c r="G85" s="30"/>
      <c r="H85" s="30"/>
      <c r="I85" s="29"/>
      <c r="J85" s="30"/>
      <c r="K85" s="30"/>
      <c r="L85" s="31"/>
      <c r="M85" s="30"/>
      <c r="N85" s="30"/>
      <c r="O85" s="29"/>
      <c r="P85" s="30"/>
    </row>
    <row r="86" spans="1:16" x14ac:dyDescent="0.2">
      <c r="A86" s="7"/>
      <c r="B86" s="2"/>
      <c r="E86" s="29"/>
      <c r="F86" s="30"/>
      <c r="G86" s="30"/>
      <c r="H86" s="30"/>
      <c r="I86" s="29"/>
      <c r="J86" s="30"/>
      <c r="K86" s="30"/>
      <c r="L86" s="31"/>
      <c r="M86" s="30"/>
      <c r="N86" s="30"/>
      <c r="O86" s="29"/>
      <c r="P86" s="30"/>
    </row>
    <row r="87" spans="1:16" x14ac:dyDescent="0.2">
      <c r="A87" s="7"/>
      <c r="B87" s="2"/>
      <c r="E87" s="29"/>
      <c r="F87" s="30"/>
      <c r="G87" s="30"/>
      <c r="H87" s="30"/>
      <c r="I87" s="29"/>
      <c r="J87" s="30"/>
      <c r="K87" s="30"/>
      <c r="L87" s="31"/>
      <c r="M87" s="30"/>
      <c r="N87" s="30"/>
      <c r="O87" s="29"/>
      <c r="P87" s="30"/>
    </row>
    <row r="88" spans="1:16" x14ac:dyDescent="0.2">
      <c r="A88" s="7"/>
      <c r="B88" s="2"/>
      <c r="E88" s="29"/>
      <c r="F88" s="30"/>
      <c r="G88" s="30"/>
      <c r="H88" s="30"/>
      <c r="I88" s="29"/>
      <c r="J88" s="30"/>
      <c r="K88" s="30"/>
      <c r="L88" s="31"/>
      <c r="M88" s="30"/>
      <c r="N88" s="30"/>
      <c r="O88" s="29"/>
      <c r="P88" s="30"/>
    </row>
    <row r="89" spans="1:16" x14ac:dyDescent="0.2">
      <c r="A89" s="7"/>
      <c r="B89" s="2"/>
      <c r="E89" s="29"/>
      <c r="F89" s="30"/>
      <c r="G89" s="30"/>
      <c r="H89" s="30"/>
      <c r="I89" s="29"/>
      <c r="J89" s="30"/>
      <c r="K89" s="30"/>
      <c r="L89" s="31"/>
      <c r="M89" s="30"/>
      <c r="N89" s="30"/>
      <c r="O89" s="29"/>
      <c r="P89" s="30"/>
    </row>
    <row r="90" spans="1:16" x14ac:dyDescent="0.2">
      <c r="A90" s="7"/>
      <c r="B90" s="2"/>
      <c r="E90" s="29"/>
      <c r="F90" s="30"/>
      <c r="G90" s="30"/>
      <c r="H90" s="30"/>
      <c r="I90" s="29"/>
      <c r="J90" s="30"/>
      <c r="K90" s="30"/>
      <c r="L90" s="31"/>
      <c r="M90" s="30"/>
      <c r="N90" s="30"/>
      <c r="O90" s="29"/>
      <c r="P90" s="30"/>
    </row>
    <row r="91" spans="1:16" x14ac:dyDescent="0.2">
      <c r="A91" s="7"/>
      <c r="B91" s="2"/>
      <c r="E91" s="29"/>
      <c r="F91" s="30"/>
      <c r="G91" s="30"/>
      <c r="H91" s="30"/>
      <c r="I91" s="29"/>
      <c r="J91" s="30"/>
      <c r="K91" s="30"/>
      <c r="L91" s="31"/>
      <c r="M91" s="30"/>
      <c r="N91" s="30"/>
      <c r="O91" s="29"/>
      <c r="P91" s="30"/>
    </row>
    <row r="92" spans="1:16" x14ac:dyDescent="0.2">
      <c r="A92" s="7"/>
      <c r="B92" s="2"/>
      <c r="E92" s="29"/>
      <c r="F92" s="30"/>
      <c r="G92" s="30"/>
      <c r="H92" s="30"/>
      <c r="I92" s="29"/>
      <c r="J92" s="30"/>
      <c r="K92" s="30"/>
      <c r="L92" s="31"/>
      <c r="M92" s="30"/>
      <c r="N92" s="30"/>
      <c r="O92" s="29"/>
      <c r="P92" s="30"/>
    </row>
    <row r="93" spans="1:16" x14ac:dyDescent="0.2">
      <c r="A93" s="7"/>
      <c r="B93" s="2"/>
      <c r="E93" s="29"/>
      <c r="F93" s="30"/>
      <c r="G93" s="30"/>
      <c r="H93" s="30"/>
      <c r="I93" s="29"/>
      <c r="J93" s="30"/>
      <c r="K93" s="30"/>
      <c r="L93" s="31"/>
      <c r="M93" s="30"/>
      <c r="N93" s="30"/>
      <c r="O93" s="29"/>
      <c r="P93" s="30"/>
    </row>
    <row r="94" spans="1:16" x14ac:dyDescent="0.2">
      <c r="A94" s="7"/>
      <c r="B94" s="2"/>
      <c r="E94" s="29"/>
      <c r="F94" s="30"/>
      <c r="G94" s="30"/>
      <c r="H94" s="30"/>
      <c r="I94" s="29"/>
      <c r="J94" s="30"/>
      <c r="K94" s="30"/>
      <c r="L94" s="31"/>
      <c r="M94" s="30"/>
      <c r="N94" s="30"/>
      <c r="O94" s="29"/>
      <c r="P94" s="30"/>
    </row>
    <row r="95" spans="1:16" x14ac:dyDescent="0.2">
      <c r="A95" s="7"/>
      <c r="B95" s="2"/>
      <c r="E95" s="29"/>
      <c r="F95" s="30"/>
      <c r="G95" s="30"/>
      <c r="H95" s="30"/>
      <c r="I95" s="29"/>
      <c r="J95" s="30"/>
      <c r="K95" s="30"/>
      <c r="L95" s="31"/>
      <c r="M95" s="30"/>
      <c r="N95" s="30"/>
      <c r="O95" s="29"/>
      <c r="P95" s="30"/>
    </row>
    <row r="96" spans="1:16" x14ac:dyDescent="0.2">
      <c r="A96" s="7"/>
      <c r="B96" s="2"/>
      <c r="E96" s="29"/>
      <c r="F96" s="30"/>
      <c r="G96" s="30"/>
      <c r="H96" s="30"/>
      <c r="I96" s="29"/>
      <c r="J96" s="30"/>
      <c r="K96" s="30"/>
      <c r="L96" s="31"/>
      <c r="M96" s="30"/>
      <c r="N96" s="30"/>
      <c r="O96" s="29"/>
      <c r="P96" s="30"/>
    </row>
    <row r="97" spans="1:16" x14ac:dyDescent="0.2">
      <c r="A97" s="7"/>
      <c r="B97" s="2"/>
      <c r="E97" s="29"/>
      <c r="F97" s="30"/>
      <c r="G97" s="30"/>
      <c r="H97" s="30"/>
      <c r="I97" s="29"/>
      <c r="J97" s="30"/>
      <c r="K97" s="30"/>
      <c r="L97" s="31"/>
      <c r="M97" s="30"/>
      <c r="N97" s="30"/>
      <c r="O97" s="29"/>
      <c r="P97" s="30"/>
    </row>
    <row r="98" spans="1:16" x14ac:dyDescent="0.2">
      <c r="A98" s="7"/>
      <c r="B98" s="2"/>
      <c r="E98" s="29"/>
      <c r="F98" s="30"/>
      <c r="G98" s="30"/>
      <c r="H98" s="30"/>
      <c r="I98" s="29"/>
      <c r="J98" s="30"/>
      <c r="K98" s="30"/>
      <c r="L98" s="31"/>
      <c r="M98" s="30"/>
      <c r="N98" s="30"/>
      <c r="O98" s="29"/>
      <c r="P98" s="30"/>
    </row>
    <row r="99" spans="1:16" x14ac:dyDescent="0.2">
      <c r="A99" s="7"/>
      <c r="B99" s="2"/>
      <c r="E99" s="29"/>
      <c r="F99" s="30"/>
      <c r="G99" s="30"/>
      <c r="H99" s="30"/>
      <c r="I99" s="29"/>
      <c r="J99" s="30"/>
      <c r="K99" s="30"/>
      <c r="L99" s="31"/>
      <c r="M99" s="30"/>
      <c r="N99" s="30"/>
      <c r="O99" s="29"/>
      <c r="P99" s="30"/>
    </row>
    <row r="100" spans="1:16" x14ac:dyDescent="0.2">
      <c r="E100" s="32"/>
      <c r="F100" s="33"/>
      <c r="G100" s="33"/>
      <c r="H100" s="33"/>
      <c r="I100" s="34"/>
      <c r="J100" s="33"/>
      <c r="K100" s="33"/>
      <c r="L100" s="35"/>
      <c r="M100" s="33"/>
      <c r="N100" s="33"/>
      <c r="O100" s="34"/>
      <c r="P100" s="33"/>
    </row>
    <row r="101" spans="1:16" x14ac:dyDescent="0.2">
      <c r="E101" s="32"/>
      <c r="F101" s="33"/>
      <c r="G101" s="33"/>
      <c r="H101" s="33"/>
      <c r="I101" s="34"/>
      <c r="J101" s="33"/>
      <c r="K101" s="33"/>
      <c r="L101" s="35"/>
      <c r="M101" s="33"/>
      <c r="N101" s="33"/>
      <c r="O101" s="34"/>
      <c r="P101" s="33"/>
    </row>
    <row r="102" spans="1:16" x14ac:dyDescent="0.2">
      <c r="E102" s="32"/>
      <c r="F102" s="33"/>
      <c r="G102" s="33"/>
      <c r="H102" s="33"/>
      <c r="I102" s="34"/>
      <c r="J102" s="33"/>
      <c r="K102" s="33"/>
      <c r="L102" s="35"/>
      <c r="M102" s="33"/>
      <c r="N102" s="33"/>
      <c r="O102" s="34"/>
      <c r="P102" s="33"/>
    </row>
    <row r="103" spans="1:16" x14ac:dyDescent="0.2">
      <c r="E103" s="32"/>
      <c r="F103" s="33"/>
      <c r="G103" s="33"/>
      <c r="H103" s="33"/>
      <c r="I103" s="34"/>
      <c r="J103" s="33"/>
      <c r="K103" s="33"/>
      <c r="L103" s="35"/>
      <c r="M103" s="33"/>
      <c r="N103" s="33"/>
      <c r="O103" s="34"/>
      <c r="P103" s="33"/>
    </row>
    <row r="104" spans="1:16" x14ac:dyDescent="0.2">
      <c r="E104" s="32"/>
      <c r="F104" s="33"/>
      <c r="G104" s="33"/>
      <c r="H104" s="33"/>
      <c r="I104" s="34"/>
      <c r="J104" s="33"/>
      <c r="K104" s="33"/>
      <c r="L104" s="35"/>
      <c r="M104" s="33"/>
      <c r="N104" s="33"/>
      <c r="O104" s="34"/>
      <c r="P104" s="33"/>
    </row>
    <row r="105" spans="1:16" x14ac:dyDescent="0.2">
      <c r="E105" s="32"/>
      <c r="F105" s="33"/>
      <c r="G105" s="33"/>
      <c r="H105" s="33"/>
      <c r="I105" s="34"/>
      <c r="J105" s="33"/>
      <c r="K105" s="33"/>
      <c r="L105" s="35"/>
      <c r="M105" s="33"/>
      <c r="N105" s="33"/>
      <c r="O105" s="34"/>
      <c r="P105" s="33"/>
    </row>
    <row r="106" spans="1:16" x14ac:dyDescent="0.2">
      <c r="E106" s="32"/>
      <c r="F106" s="33"/>
      <c r="G106" s="33"/>
      <c r="H106" s="33"/>
      <c r="I106" s="34"/>
      <c r="J106" s="33"/>
      <c r="K106" s="33"/>
      <c r="L106" s="35"/>
      <c r="M106" s="33"/>
      <c r="N106" s="33"/>
      <c r="O106" s="34"/>
      <c r="P106" s="33"/>
    </row>
    <row r="107" spans="1:16" x14ac:dyDescent="0.2">
      <c r="E107" s="32"/>
      <c r="F107" s="33"/>
      <c r="G107" s="33"/>
      <c r="H107" s="33"/>
      <c r="I107" s="34"/>
      <c r="J107" s="33"/>
      <c r="K107" s="33"/>
      <c r="L107" s="35"/>
      <c r="M107" s="33"/>
      <c r="N107" s="33"/>
      <c r="O107" s="34"/>
      <c r="P107" s="33"/>
    </row>
    <row r="108" spans="1:16" x14ac:dyDescent="0.2">
      <c r="E108" s="32"/>
      <c r="F108" s="33"/>
      <c r="G108" s="33"/>
      <c r="H108" s="33"/>
      <c r="I108" s="34"/>
      <c r="J108" s="33"/>
      <c r="K108" s="33"/>
      <c r="L108" s="35"/>
      <c r="M108" s="33"/>
      <c r="N108" s="33"/>
      <c r="O108" s="34"/>
      <c r="P108" s="33"/>
    </row>
    <row r="109" spans="1:16" x14ac:dyDescent="0.2">
      <c r="E109" s="32"/>
      <c r="F109" s="33"/>
      <c r="G109" s="33"/>
      <c r="H109" s="33"/>
      <c r="I109" s="34"/>
      <c r="J109" s="33"/>
      <c r="K109" s="33"/>
      <c r="L109" s="35"/>
      <c r="M109" s="33"/>
      <c r="N109" s="33"/>
      <c r="O109" s="34"/>
      <c r="P109" s="33"/>
    </row>
    <row r="110" spans="1:16" x14ac:dyDescent="0.2">
      <c r="E110" s="32"/>
      <c r="F110" s="33"/>
      <c r="G110" s="33"/>
      <c r="H110" s="33"/>
      <c r="I110" s="34"/>
      <c r="J110" s="33"/>
      <c r="K110" s="33"/>
      <c r="L110" s="35"/>
      <c r="M110" s="33"/>
      <c r="N110" s="33"/>
      <c r="O110" s="34"/>
      <c r="P110" s="33"/>
    </row>
    <row r="111" spans="1:16" x14ac:dyDescent="0.2">
      <c r="E111" s="32"/>
      <c r="F111" s="33"/>
      <c r="G111" s="33"/>
      <c r="H111" s="33"/>
      <c r="I111" s="34"/>
      <c r="J111" s="33"/>
      <c r="K111" s="33"/>
      <c r="L111" s="35"/>
      <c r="M111" s="33"/>
      <c r="N111" s="33"/>
      <c r="O111" s="34"/>
      <c r="P111" s="33"/>
    </row>
    <row r="112" spans="1:16" x14ac:dyDescent="0.2">
      <c r="E112" s="32"/>
      <c r="F112" s="33"/>
      <c r="G112" s="33"/>
      <c r="H112" s="33"/>
      <c r="I112" s="34"/>
      <c r="J112" s="33"/>
      <c r="K112" s="33"/>
      <c r="L112" s="35"/>
      <c r="M112" s="33"/>
      <c r="N112" s="33"/>
      <c r="O112" s="34"/>
      <c r="P112" s="33"/>
    </row>
    <row r="113" spans="5:16" x14ac:dyDescent="0.2">
      <c r="E113" s="32"/>
      <c r="F113" s="33"/>
      <c r="G113" s="33"/>
      <c r="H113" s="33"/>
      <c r="I113" s="34"/>
      <c r="J113" s="33"/>
      <c r="K113" s="33"/>
      <c r="L113" s="35"/>
      <c r="M113" s="33"/>
      <c r="N113" s="33"/>
      <c r="O113" s="34"/>
      <c r="P113" s="33"/>
    </row>
    <row r="114" spans="5:16" x14ac:dyDescent="0.2">
      <c r="E114" s="32"/>
      <c r="F114" s="33"/>
      <c r="G114" s="33"/>
      <c r="H114" s="33"/>
      <c r="I114" s="34"/>
      <c r="J114" s="33"/>
      <c r="K114" s="33"/>
      <c r="L114" s="35"/>
      <c r="M114" s="33"/>
      <c r="N114" s="33"/>
      <c r="O114" s="34"/>
      <c r="P114" s="33"/>
    </row>
    <row r="115" spans="5:16" x14ac:dyDescent="0.2">
      <c r="E115" s="32"/>
      <c r="F115" s="33"/>
      <c r="G115" s="33"/>
      <c r="H115" s="33"/>
      <c r="I115" s="34"/>
      <c r="J115" s="33"/>
      <c r="K115" s="33"/>
      <c r="L115" s="35"/>
      <c r="M115" s="33"/>
      <c r="N115" s="33"/>
      <c r="O115" s="34"/>
      <c r="P115" s="33"/>
    </row>
    <row r="116" spans="5:16" x14ac:dyDescent="0.2">
      <c r="E116" s="32"/>
      <c r="F116" s="33"/>
      <c r="G116" s="33"/>
      <c r="H116" s="33"/>
      <c r="I116" s="34"/>
      <c r="J116" s="33"/>
      <c r="K116" s="33"/>
      <c r="L116" s="35"/>
      <c r="M116" s="33"/>
      <c r="N116" s="33"/>
      <c r="O116" s="34"/>
      <c r="P116" s="33"/>
    </row>
    <row r="117" spans="5:16" x14ac:dyDescent="0.2">
      <c r="E117" s="32"/>
      <c r="F117" s="33"/>
      <c r="G117" s="33"/>
      <c r="H117" s="33"/>
      <c r="I117" s="34"/>
      <c r="J117" s="33"/>
      <c r="K117" s="33"/>
      <c r="L117" s="35"/>
      <c r="M117" s="33"/>
      <c r="N117" s="33"/>
      <c r="O117" s="34"/>
      <c r="P117" s="33"/>
    </row>
    <row r="118" spans="5:16" x14ac:dyDescent="0.2">
      <c r="E118" s="32"/>
      <c r="F118" s="33"/>
      <c r="G118" s="33"/>
      <c r="H118" s="33"/>
      <c r="I118" s="34"/>
      <c r="J118" s="33"/>
      <c r="K118" s="33"/>
      <c r="L118" s="35"/>
      <c r="M118" s="33"/>
      <c r="N118" s="33"/>
      <c r="O118" s="34"/>
      <c r="P118" s="33"/>
    </row>
    <row r="119" spans="5:16" x14ac:dyDescent="0.2">
      <c r="E119" s="32"/>
      <c r="F119" s="33"/>
      <c r="G119" s="33"/>
      <c r="H119" s="33"/>
      <c r="I119" s="34"/>
      <c r="J119" s="33"/>
      <c r="K119" s="33"/>
      <c r="L119" s="35"/>
      <c r="M119" s="33"/>
      <c r="N119" s="33"/>
      <c r="O119" s="34"/>
      <c r="P119" s="33"/>
    </row>
    <row r="120" spans="5:16" x14ac:dyDescent="0.2">
      <c r="E120" s="32"/>
      <c r="F120" s="33"/>
      <c r="G120" s="33"/>
      <c r="H120" s="33"/>
      <c r="I120" s="34"/>
      <c r="J120" s="33"/>
      <c r="K120" s="33"/>
      <c r="L120" s="35"/>
      <c r="M120" s="33"/>
      <c r="N120" s="33"/>
      <c r="O120" s="34"/>
      <c r="P120" s="33"/>
    </row>
    <row r="121" spans="5:16" x14ac:dyDescent="0.2">
      <c r="E121" s="32"/>
      <c r="F121" s="33"/>
      <c r="G121" s="33"/>
      <c r="H121" s="33"/>
      <c r="I121" s="34"/>
      <c r="J121" s="33"/>
      <c r="K121" s="33"/>
      <c r="L121" s="35"/>
      <c r="M121" s="33"/>
      <c r="N121" s="33"/>
      <c r="O121" s="34"/>
      <c r="P121" s="33"/>
    </row>
    <row r="122" spans="5:16" x14ac:dyDescent="0.2">
      <c r="E122" s="32"/>
      <c r="F122" s="33"/>
      <c r="G122" s="33"/>
      <c r="H122" s="33"/>
      <c r="I122" s="34"/>
      <c r="J122" s="33"/>
      <c r="K122" s="33"/>
      <c r="L122" s="35"/>
      <c r="M122" s="33"/>
      <c r="N122" s="33"/>
      <c r="O122" s="34"/>
      <c r="P122" s="33"/>
    </row>
    <row r="123" spans="5:16" x14ac:dyDescent="0.2">
      <c r="E123" s="32"/>
      <c r="F123" s="33"/>
      <c r="G123" s="33"/>
      <c r="H123" s="33"/>
      <c r="I123" s="34"/>
      <c r="J123" s="33"/>
      <c r="K123" s="33"/>
      <c r="L123" s="35"/>
      <c r="M123" s="33"/>
      <c r="N123" s="33"/>
      <c r="O123" s="34"/>
      <c r="P123" s="33"/>
    </row>
    <row r="124" spans="5:16" x14ac:dyDescent="0.2">
      <c r="E124" s="32"/>
      <c r="F124" s="33"/>
      <c r="G124" s="33"/>
      <c r="H124" s="33"/>
      <c r="I124" s="34"/>
      <c r="J124" s="33"/>
      <c r="K124" s="33"/>
      <c r="L124" s="35"/>
      <c r="M124" s="33"/>
      <c r="N124" s="33"/>
      <c r="O124" s="34"/>
      <c r="P124" s="33"/>
    </row>
    <row r="125" spans="5:16" x14ac:dyDescent="0.2">
      <c r="E125" s="32"/>
      <c r="F125" s="33"/>
      <c r="G125" s="33"/>
      <c r="H125" s="33"/>
      <c r="I125" s="34"/>
      <c r="J125" s="33"/>
      <c r="K125" s="33"/>
      <c r="L125" s="35"/>
      <c r="M125" s="33"/>
      <c r="N125" s="33"/>
      <c r="O125" s="34"/>
      <c r="P125" s="33"/>
    </row>
    <row r="126" spans="5:16" x14ac:dyDescent="0.2">
      <c r="E126" s="32"/>
      <c r="F126" s="33"/>
      <c r="G126" s="33"/>
      <c r="H126" s="33"/>
      <c r="I126" s="34"/>
      <c r="J126" s="33"/>
      <c r="K126" s="33"/>
      <c r="L126" s="35"/>
      <c r="M126" s="33"/>
      <c r="N126" s="33"/>
      <c r="O126" s="34"/>
      <c r="P126" s="33"/>
    </row>
    <row r="127" spans="5:16" x14ac:dyDescent="0.2">
      <c r="E127" s="32"/>
      <c r="F127" s="33"/>
      <c r="G127" s="33"/>
      <c r="H127" s="33"/>
      <c r="I127" s="34"/>
      <c r="J127" s="33"/>
      <c r="K127" s="33"/>
      <c r="L127" s="35"/>
      <c r="M127" s="33"/>
      <c r="N127" s="33"/>
      <c r="O127" s="34"/>
      <c r="P127" s="33"/>
    </row>
    <row r="128" spans="5:16" x14ac:dyDescent="0.2">
      <c r="E128" s="32"/>
      <c r="F128" s="33"/>
      <c r="G128" s="33"/>
      <c r="H128" s="33"/>
      <c r="I128" s="34"/>
      <c r="J128" s="33"/>
      <c r="K128" s="33"/>
      <c r="L128" s="35"/>
      <c r="M128" s="33"/>
      <c r="N128" s="33"/>
      <c r="O128" s="34"/>
      <c r="P128" s="33"/>
    </row>
    <row r="129" spans="5:16" x14ac:dyDescent="0.2">
      <c r="E129" s="32"/>
      <c r="F129" s="33"/>
      <c r="G129" s="33"/>
      <c r="H129" s="33"/>
      <c r="I129" s="34"/>
      <c r="J129" s="33"/>
      <c r="K129" s="33"/>
      <c r="L129" s="35"/>
      <c r="M129" s="33"/>
      <c r="N129" s="33"/>
      <c r="O129" s="34"/>
      <c r="P129" s="33"/>
    </row>
    <row r="130" spans="5:16" x14ac:dyDescent="0.2">
      <c r="E130" s="32"/>
      <c r="F130" s="33"/>
      <c r="G130" s="33"/>
      <c r="H130" s="33"/>
      <c r="I130" s="34"/>
      <c r="J130" s="33"/>
      <c r="K130" s="33"/>
      <c r="L130" s="35"/>
      <c r="M130" s="33"/>
      <c r="N130" s="33"/>
      <c r="O130" s="34"/>
      <c r="P130" s="33"/>
    </row>
    <row r="131" spans="5:16" x14ac:dyDescent="0.2">
      <c r="E131" s="32"/>
      <c r="F131" s="33"/>
      <c r="G131" s="33"/>
      <c r="H131" s="33"/>
      <c r="I131" s="34"/>
      <c r="J131" s="33"/>
      <c r="K131" s="33"/>
      <c r="L131" s="35"/>
      <c r="M131" s="33"/>
      <c r="N131" s="33"/>
      <c r="O131" s="34"/>
      <c r="P131" s="33"/>
    </row>
    <row r="132" spans="5:16" x14ac:dyDescent="0.2">
      <c r="E132" s="32"/>
      <c r="F132" s="33"/>
      <c r="G132" s="33"/>
      <c r="H132" s="33"/>
      <c r="I132" s="34"/>
      <c r="J132" s="33"/>
      <c r="K132" s="33"/>
      <c r="L132" s="35"/>
      <c r="M132" s="33"/>
      <c r="N132" s="33"/>
      <c r="O132" s="34"/>
      <c r="P132" s="33"/>
    </row>
    <row r="133" spans="5:16" x14ac:dyDescent="0.2">
      <c r="E133" s="32"/>
      <c r="F133" s="33"/>
      <c r="G133" s="33"/>
      <c r="H133" s="33"/>
      <c r="I133" s="34"/>
      <c r="J133" s="33"/>
      <c r="K133" s="33"/>
      <c r="L133" s="35"/>
      <c r="M133" s="33"/>
      <c r="N133" s="33"/>
      <c r="O133" s="34"/>
      <c r="P133" s="33"/>
    </row>
    <row r="134" spans="5:16" x14ac:dyDescent="0.2">
      <c r="E134" s="32"/>
      <c r="F134" s="33"/>
      <c r="G134" s="33"/>
      <c r="H134" s="33"/>
      <c r="I134" s="34"/>
      <c r="J134" s="33"/>
      <c r="K134" s="33"/>
      <c r="L134" s="35"/>
      <c r="M134" s="33"/>
      <c r="N134" s="33"/>
      <c r="O134" s="34"/>
      <c r="P134" s="33"/>
    </row>
    <row r="135" spans="5:16" x14ac:dyDescent="0.2">
      <c r="E135" s="32"/>
      <c r="F135" s="33"/>
      <c r="G135" s="33"/>
      <c r="H135" s="33"/>
      <c r="I135" s="34"/>
      <c r="J135" s="33"/>
      <c r="K135" s="33"/>
      <c r="L135" s="35"/>
      <c r="M135" s="33"/>
      <c r="N135" s="33"/>
      <c r="O135" s="34"/>
      <c r="P135" s="33"/>
    </row>
    <row r="136" spans="5:16" x14ac:dyDescent="0.2">
      <c r="E136" s="32"/>
      <c r="F136" s="33"/>
      <c r="G136" s="33"/>
      <c r="H136" s="33"/>
      <c r="I136" s="34"/>
      <c r="J136" s="33"/>
      <c r="K136" s="33"/>
      <c r="L136" s="35"/>
      <c r="M136" s="33"/>
      <c r="N136" s="33"/>
      <c r="O136" s="34"/>
      <c r="P136" s="33"/>
    </row>
    <row r="137" spans="5:16" x14ac:dyDescent="0.2">
      <c r="E137" s="32"/>
      <c r="F137" s="33"/>
      <c r="G137" s="33"/>
      <c r="H137" s="33"/>
      <c r="I137" s="34"/>
      <c r="J137" s="33"/>
      <c r="K137" s="33"/>
      <c r="L137" s="35"/>
      <c r="M137" s="33"/>
      <c r="N137" s="33"/>
      <c r="O137" s="34"/>
      <c r="P137" s="33"/>
    </row>
    <row r="138" spans="5:16" x14ac:dyDescent="0.2">
      <c r="E138" s="32"/>
      <c r="F138" s="33"/>
      <c r="G138" s="33"/>
      <c r="H138" s="33"/>
      <c r="I138" s="34"/>
      <c r="J138" s="33"/>
      <c r="K138" s="33"/>
      <c r="L138" s="35"/>
      <c r="M138" s="33"/>
      <c r="N138" s="33"/>
      <c r="O138" s="34"/>
      <c r="P138" s="33"/>
    </row>
    <row r="139" spans="5:16" x14ac:dyDescent="0.2">
      <c r="E139" s="32"/>
      <c r="F139" s="33"/>
      <c r="G139" s="33"/>
      <c r="H139" s="33"/>
      <c r="I139" s="34"/>
      <c r="J139" s="33"/>
      <c r="K139" s="33"/>
      <c r="L139" s="35"/>
      <c r="M139" s="33"/>
      <c r="N139" s="33"/>
      <c r="O139" s="34"/>
      <c r="P139" s="33"/>
    </row>
    <row r="140" spans="5:16" x14ac:dyDescent="0.2">
      <c r="E140" s="32"/>
      <c r="F140" s="33"/>
      <c r="G140" s="33"/>
      <c r="H140" s="33"/>
      <c r="I140" s="34"/>
      <c r="J140" s="33"/>
      <c r="K140" s="33"/>
      <c r="L140" s="35"/>
      <c r="M140" s="33"/>
      <c r="N140" s="33"/>
      <c r="O140" s="34"/>
      <c r="P140" s="33"/>
    </row>
    <row r="141" spans="5:16" x14ac:dyDescent="0.2">
      <c r="E141" s="32"/>
      <c r="F141" s="33"/>
      <c r="G141" s="33"/>
      <c r="H141" s="33"/>
      <c r="I141" s="34"/>
      <c r="J141" s="33"/>
      <c r="K141" s="33"/>
      <c r="L141" s="35"/>
      <c r="M141" s="33"/>
      <c r="N141" s="33"/>
      <c r="O141" s="34"/>
      <c r="P141" s="33"/>
    </row>
    <row r="142" spans="5:16" x14ac:dyDescent="0.2">
      <c r="E142" s="32"/>
      <c r="F142" s="33"/>
      <c r="G142" s="33"/>
      <c r="H142" s="33"/>
      <c r="I142" s="34"/>
      <c r="J142" s="33"/>
      <c r="K142" s="33"/>
      <c r="L142" s="35"/>
      <c r="M142" s="33"/>
      <c r="N142" s="33"/>
      <c r="O142" s="34"/>
      <c r="P142" s="33"/>
    </row>
    <row r="143" spans="5:16" x14ac:dyDescent="0.2">
      <c r="E143" s="32"/>
      <c r="F143" s="33"/>
      <c r="G143" s="33"/>
      <c r="H143" s="33"/>
      <c r="I143" s="34"/>
      <c r="J143" s="33"/>
      <c r="K143" s="33"/>
      <c r="L143" s="35"/>
      <c r="M143" s="33"/>
      <c r="N143" s="33"/>
      <c r="O143" s="34"/>
      <c r="P143" s="33"/>
    </row>
    <row r="144" spans="5:16" x14ac:dyDescent="0.2">
      <c r="E144" s="32"/>
      <c r="F144" s="33"/>
      <c r="G144" s="33"/>
      <c r="H144" s="33"/>
      <c r="I144" s="34"/>
      <c r="J144" s="33"/>
      <c r="K144" s="33"/>
      <c r="L144" s="35"/>
      <c r="M144" s="33"/>
      <c r="N144" s="33"/>
      <c r="O144" s="34"/>
      <c r="P144" s="33"/>
    </row>
    <row r="145" spans="5:16" x14ac:dyDescent="0.2">
      <c r="E145" s="32"/>
      <c r="F145" s="33"/>
      <c r="G145" s="33"/>
      <c r="H145" s="33"/>
      <c r="I145" s="34"/>
      <c r="J145" s="33"/>
      <c r="K145" s="33"/>
      <c r="L145" s="35"/>
      <c r="M145" s="33"/>
      <c r="N145" s="33"/>
      <c r="O145" s="34"/>
      <c r="P145" s="33"/>
    </row>
    <row r="146" spans="5:16" x14ac:dyDescent="0.2">
      <c r="E146" s="32"/>
      <c r="F146" s="33"/>
      <c r="G146" s="33"/>
      <c r="H146" s="33"/>
      <c r="I146" s="34"/>
      <c r="J146" s="33"/>
      <c r="K146" s="33"/>
      <c r="L146" s="35"/>
      <c r="M146" s="33"/>
      <c r="N146" s="33"/>
      <c r="O146" s="34"/>
      <c r="P146" s="33"/>
    </row>
    <row r="147" spans="5:16" x14ac:dyDescent="0.2">
      <c r="E147" s="32"/>
      <c r="F147" s="33"/>
      <c r="G147" s="33"/>
      <c r="H147" s="33"/>
      <c r="I147" s="34"/>
      <c r="J147" s="33"/>
      <c r="K147" s="33"/>
      <c r="L147" s="35"/>
      <c r="M147" s="33"/>
      <c r="N147" s="33"/>
      <c r="O147" s="34"/>
      <c r="P147" s="33"/>
    </row>
    <row r="148" spans="5:16" x14ac:dyDescent="0.2">
      <c r="E148" s="32"/>
      <c r="F148" s="33"/>
      <c r="G148" s="33"/>
      <c r="H148" s="33"/>
      <c r="I148" s="34"/>
      <c r="J148" s="33"/>
      <c r="K148" s="33"/>
      <c r="L148" s="35"/>
      <c r="M148" s="33"/>
      <c r="N148" s="33"/>
      <c r="O148" s="34"/>
      <c r="P148" s="33"/>
    </row>
    <row r="149" spans="5:16" x14ac:dyDescent="0.2">
      <c r="E149" s="32"/>
      <c r="F149" s="33"/>
      <c r="G149" s="33"/>
      <c r="H149" s="33"/>
      <c r="I149" s="34"/>
      <c r="J149" s="33"/>
      <c r="K149" s="33"/>
      <c r="L149" s="35"/>
      <c r="M149" s="33"/>
      <c r="N149" s="33"/>
      <c r="O149" s="34"/>
      <c r="P149" s="33"/>
    </row>
    <row r="150" spans="5:16" x14ac:dyDescent="0.2">
      <c r="E150" s="32"/>
      <c r="F150" s="33"/>
      <c r="G150" s="33"/>
      <c r="H150" s="33"/>
      <c r="I150" s="34"/>
      <c r="J150" s="33"/>
      <c r="K150" s="33"/>
      <c r="L150" s="35"/>
      <c r="M150" s="33"/>
      <c r="N150" s="33"/>
      <c r="O150" s="34"/>
      <c r="P150" s="33"/>
    </row>
    <row r="151" spans="5:16" x14ac:dyDescent="0.2">
      <c r="E151" s="32"/>
      <c r="F151" s="33"/>
      <c r="G151" s="33"/>
      <c r="H151" s="33"/>
      <c r="I151" s="34"/>
      <c r="J151" s="33"/>
      <c r="K151" s="33"/>
      <c r="L151" s="35"/>
      <c r="M151" s="33"/>
      <c r="N151" s="33"/>
      <c r="O151" s="34"/>
      <c r="P151" s="33"/>
    </row>
    <row r="152" spans="5:16" x14ac:dyDescent="0.2">
      <c r="E152" s="32"/>
      <c r="F152" s="33"/>
      <c r="G152" s="33"/>
      <c r="H152" s="33"/>
      <c r="I152" s="34"/>
      <c r="J152" s="33"/>
      <c r="K152" s="33"/>
      <c r="L152" s="35"/>
      <c r="M152" s="33"/>
      <c r="N152" s="33"/>
      <c r="O152" s="34"/>
      <c r="P152" s="33"/>
    </row>
    <row r="153" spans="5:16" x14ac:dyDescent="0.2">
      <c r="E153" s="32"/>
      <c r="F153" s="33"/>
      <c r="G153" s="33"/>
      <c r="H153" s="33"/>
      <c r="I153" s="34"/>
      <c r="J153" s="33"/>
      <c r="K153" s="33"/>
      <c r="L153" s="35"/>
      <c r="M153" s="33"/>
      <c r="N153" s="33"/>
      <c r="O153" s="34"/>
      <c r="P153" s="33"/>
    </row>
    <row r="154" spans="5:16" x14ac:dyDescent="0.2">
      <c r="E154" s="32"/>
      <c r="F154" s="33"/>
      <c r="G154" s="33"/>
      <c r="H154" s="33"/>
      <c r="I154" s="34"/>
      <c r="J154" s="33"/>
      <c r="K154" s="33"/>
      <c r="L154" s="35"/>
      <c r="M154" s="33"/>
      <c r="N154" s="33"/>
      <c r="O154" s="34"/>
      <c r="P154" s="33"/>
    </row>
    <row r="155" spans="5:16" x14ac:dyDescent="0.2">
      <c r="E155" s="32"/>
      <c r="F155" s="33"/>
      <c r="G155" s="33"/>
      <c r="H155" s="33"/>
      <c r="I155" s="34"/>
      <c r="J155" s="33"/>
      <c r="K155" s="33"/>
      <c r="L155" s="35"/>
      <c r="M155" s="33"/>
      <c r="N155" s="33"/>
      <c r="O155" s="34"/>
      <c r="P155" s="33"/>
    </row>
    <row r="156" spans="5:16" x14ac:dyDescent="0.2">
      <c r="E156" s="32"/>
      <c r="F156" s="33"/>
      <c r="G156" s="33"/>
      <c r="H156" s="33"/>
      <c r="I156" s="34"/>
      <c r="J156" s="33"/>
      <c r="K156" s="33"/>
      <c r="L156" s="35"/>
      <c r="M156" s="33"/>
      <c r="N156" s="33"/>
      <c r="O156" s="34"/>
      <c r="P156" s="33"/>
    </row>
    <row r="157" spans="5:16" x14ac:dyDescent="0.2">
      <c r="E157" s="32"/>
      <c r="F157" s="33"/>
      <c r="G157" s="33"/>
      <c r="H157" s="33"/>
      <c r="I157" s="34"/>
      <c r="J157" s="33"/>
      <c r="K157" s="33"/>
      <c r="L157" s="35"/>
      <c r="M157" s="33"/>
      <c r="N157" s="33"/>
      <c r="O157" s="34"/>
      <c r="P157" s="33"/>
    </row>
    <row r="158" spans="5:16" x14ac:dyDescent="0.2">
      <c r="E158" s="32"/>
      <c r="F158" s="33"/>
      <c r="G158" s="33"/>
      <c r="H158" s="33"/>
      <c r="I158" s="34"/>
      <c r="J158" s="33"/>
      <c r="K158" s="33"/>
      <c r="L158" s="35"/>
      <c r="M158" s="33"/>
      <c r="N158" s="33"/>
      <c r="O158" s="34"/>
      <c r="P158" s="33"/>
    </row>
    <row r="159" spans="5:16" x14ac:dyDescent="0.2">
      <c r="E159" s="32"/>
      <c r="F159" s="33"/>
      <c r="G159" s="33"/>
      <c r="H159" s="33"/>
      <c r="I159" s="34"/>
      <c r="J159" s="33"/>
      <c r="K159" s="33"/>
      <c r="L159" s="35"/>
      <c r="M159" s="33"/>
      <c r="N159" s="33"/>
      <c r="O159" s="34"/>
      <c r="P159" s="33"/>
    </row>
    <row r="160" spans="5:16" x14ac:dyDescent="0.2">
      <c r="E160" s="32"/>
      <c r="F160" s="33"/>
      <c r="G160" s="33"/>
      <c r="H160" s="33"/>
      <c r="I160" s="34"/>
      <c r="J160" s="33"/>
      <c r="K160" s="33"/>
      <c r="L160" s="35"/>
      <c r="M160" s="33"/>
      <c r="N160" s="33"/>
      <c r="O160" s="34"/>
      <c r="P160" s="33"/>
    </row>
    <row r="161" spans="5:16" x14ac:dyDescent="0.2">
      <c r="E161" s="32"/>
      <c r="F161" s="33"/>
      <c r="G161" s="33"/>
      <c r="H161" s="33"/>
      <c r="I161" s="34"/>
      <c r="J161" s="33"/>
      <c r="K161" s="33"/>
      <c r="L161" s="35"/>
      <c r="M161" s="33"/>
      <c r="N161" s="33"/>
      <c r="O161" s="34"/>
      <c r="P161" s="33"/>
    </row>
    <row r="162" spans="5:16" x14ac:dyDescent="0.2">
      <c r="E162" s="32"/>
      <c r="F162" s="33"/>
      <c r="G162" s="33"/>
      <c r="H162" s="33"/>
      <c r="I162" s="34"/>
      <c r="J162" s="33"/>
      <c r="K162" s="33"/>
      <c r="L162" s="35"/>
      <c r="M162" s="33"/>
      <c r="N162" s="33"/>
      <c r="O162" s="34"/>
      <c r="P162" s="33"/>
    </row>
    <row r="163" spans="5:16" x14ac:dyDescent="0.2">
      <c r="E163" s="32"/>
      <c r="F163" s="33"/>
      <c r="G163" s="33"/>
      <c r="H163" s="33"/>
      <c r="I163" s="34"/>
      <c r="J163" s="33"/>
      <c r="K163" s="33"/>
      <c r="L163" s="35"/>
      <c r="M163" s="33"/>
      <c r="N163" s="33"/>
      <c r="O163" s="34"/>
      <c r="P163" s="33"/>
    </row>
    <row r="164" spans="5:16" x14ac:dyDescent="0.2">
      <c r="E164" s="32"/>
      <c r="F164" s="33"/>
      <c r="G164" s="33"/>
      <c r="H164" s="33"/>
      <c r="I164" s="34"/>
      <c r="J164" s="33"/>
      <c r="K164" s="33"/>
      <c r="L164" s="35"/>
      <c r="M164" s="33"/>
      <c r="N164" s="33"/>
      <c r="O164" s="34"/>
      <c r="P164" s="33"/>
    </row>
    <row r="165" spans="5:16" x14ac:dyDescent="0.2">
      <c r="E165" s="32"/>
      <c r="F165" s="33"/>
      <c r="G165" s="33"/>
      <c r="H165" s="33"/>
      <c r="I165" s="34"/>
      <c r="J165" s="33"/>
      <c r="K165" s="33"/>
      <c r="L165" s="35"/>
      <c r="M165" s="33"/>
      <c r="N165" s="33"/>
      <c r="O165" s="34"/>
      <c r="P165" s="33"/>
    </row>
    <row r="166" spans="5:16" x14ac:dyDescent="0.2">
      <c r="E166" s="32"/>
      <c r="F166" s="33"/>
      <c r="G166" s="33"/>
      <c r="H166" s="33"/>
      <c r="I166" s="34"/>
      <c r="J166" s="33"/>
      <c r="K166" s="33"/>
      <c r="L166" s="35"/>
      <c r="M166" s="33"/>
      <c r="N166" s="33"/>
      <c r="O166" s="34"/>
      <c r="P166" s="33"/>
    </row>
    <row r="167" spans="5:16" x14ac:dyDescent="0.2">
      <c r="E167" s="32"/>
      <c r="F167" s="33"/>
      <c r="G167" s="33"/>
      <c r="H167" s="33"/>
      <c r="I167" s="34"/>
      <c r="J167" s="33"/>
      <c r="K167" s="33"/>
      <c r="L167" s="35"/>
      <c r="M167" s="33"/>
      <c r="N167" s="33"/>
      <c r="O167" s="34"/>
      <c r="P167" s="33"/>
    </row>
    <row r="168" spans="5:16" x14ac:dyDescent="0.2">
      <c r="E168" s="32"/>
      <c r="F168" s="33"/>
      <c r="G168" s="33"/>
      <c r="H168" s="33"/>
      <c r="I168" s="34"/>
      <c r="J168" s="33"/>
      <c r="K168" s="33"/>
      <c r="L168" s="35"/>
      <c r="M168" s="33"/>
      <c r="N168" s="33"/>
      <c r="O168" s="34"/>
      <c r="P168" s="33"/>
    </row>
    <row r="169" spans="5:16" x14ac:dyDescent="0.2">
      <c r="E169" s="32"/>
      <c r="F169" s="33"/>
      <c r="G169" s="33"/>
      <c r="H169" s="33"/>
      <c r="I169" s="34"/>
      <c r="J169" s="33"/>
      <c r="K169" s="33"/>
      <c r="L169" s="35"/>
      <c r="M169" s="33"/>
      <c r="N169" s="33"/>
      <c r="O169" s="34"/>
      <c r="P169" s="33"/>
    </row>
    <row r="170" spans="5:16" x14ac:dyDescent="0.2">
      <c r="E170" s="32"/>
      <c r="F170" s="33"/>
      <c r="G170" s="33"/>
      <c r="H170" s="33"/>
      <c r="I170" s="34"/>
      <c r="J170" s="33"/>
      <c r="K170" s="33"/>
      <c r="L170" s="35"/>
      <c r="M170" s="33"/>
      <c r="N170" s="33"/>
      <c r="O170" s="34"/>
      <c r="P170" s="33"/>
    </row>
    <row r="171" spans="5:16" x14ac:dyDescent="0.2">
      <c r="E171" s="32"/>
      <c r="F171" s="33"/>
      <c r="G171" s="33"/>
      <c r="H171" s="33"/>
      <c r="I171" s="34"/>
      <c r="J171" s="33"/>
      <c r="K171" s="33"/>
      <c r="L171" s="35"/>
      <c r="M171" s="33"/>
      <c r="N171" s="33"/>
      <c r="O171" s="34"/>
      <c r="P171" s="33"/>
    </row>
    <row r="172" spans="5:16" x14ac:dyDescent="0.2">
      <c r="E172" s="32"/>
      <c r="F172" s="33"/>
      <c r="G172" s="33"/>
      <c r="H172" s="33"/>
      <c r="I172" s="34"/>
      <c r="J172" s="33"/>
      <c r="K172" s="33"/>
      <c r="L172" s="35"/>
      <c r="M172" s="33"/>
      <c r="N172" s="33"/>
      <c r="O172" s="34"/>
      <c r="P172" s="33"/>
    </row>
    <row r="173" spans="5:16" x14ac:dyDescent="0.2">
      <c r="E173" s="32"/>
      <c r="F173" s="33"/>
      <c r="G173" s="33"/>
      <c r="H173" s="33"/>
      <c r="I173" s="34"/>
      <c r="J173" s="33"/>
      <c r="K173" s="33"/>
      <c r="L173" s="35"/>
      <c r="M173" s="33"/>
      <c r="N173" s="33"/>
      <c r="O173" s="34"/>
      <c r="P173" s="33"/>
    </row>
    <row r="174" spans="5:16" x14ac:dyDescent="0.2">
      <c r="E174" s="32"/>
      <c r="F174" s="33"/>
      <c r="G174" s="33"/>
      <c r="H174" s="33"/>
      <c r="I174" s="34"/>
      <c r="J174" s="33"/>
      <c r="K174" s="33"/>
      <c r="L174" s="35"/>
      <c r="M174" s="33"/>
      <c r="N174" s="33"/>
      <c r="O174" s="34"/>
      <c r="P174" s="33"/>
    </row>
    <row r="175" spans="5:16" x14ac:dyDescent="0.2">
      <c r="E175" s="32"/>
      <c r="F175" s="33"/>
      <c r="G175" s="33"/>
      <c r="H175" s="33"/>
      <c r="I175" s="34"/>
      <c r="J175" s="33"/>
      <c r="K175" s="33"/>
      <c r="L175" s="35"/>
      <c r="M175" s="33"/>
      <c r="N175" s="33"/>
      <c r="O175" s="34"/>
      <c r="P175" s="33"/>
    </row>
    <row r="176" spans="5:16" x14ac:dyDescent="0.2">
      <c r="E176" s="32"/>
      <c r="F176" s="33"/>
      <c r="G176" s="33"/>
      <c r="H176" s="33"/>
      <c r="I176" s="34"/>
      <c r="J176" s="33"/>
      <c r="K176" s="33"/>
      <c r="L176" s="35"/>
      <c r="M176" s="33"/>
      <c r="N176" s="33"/>
      <c r="O176" s="34"/>
      <c r="P176" s="33"/>
    </row>
    <row r="177" spans="5:16" x14ac:dyDescent="0.2">
      <c r="E177" s="32"/>
      <c r="F177" s="33"/>
      <c r="G177" s="33"/>
      <c r="H177" s="33"/>
      <c r="I177" s="34"/>
      <c r="J177" s="33"/>
      <c r="K177" s="33"/>
      <c r="L177" s="35"/>
      <c r="M177" s="33"/>
      <c r="N177" s="33"/>
      <c r="O177" s="34"/>
      <c r="P177" s="33"/>
    </row>
    <row r="178" spans="5:16" x14ac:dyDescent="0.2">
      <c r="E178" s="32"/>
      <c r="F178" s="33"/>
      <c r="G178" s="33"/>
      <c r="H178" s="33"/>
      <c r="I178" s="34"/>
      <c r="J178" s="33"/>
      <c r="K178" s="33"/>
      <c r="L178" s="35"/>
      <c r="M178" s="33"/>
      <c r="N178" s="33"/>
      <c r="O178" s="34"/>
      <c r="P178" s="33"/>
    </row>
    <row r="179" spans="5:16" x14ac:dyDescent="0.2">
      <c r="E179" s="32"/>
      <c r="F179" s="33"/>
      <c r="G179" s="33"/>
      <c r="H179" s="33"/>
      <c r="I179" s="34"/>
      <c r="J179" s="33"/>
      <c r="K179" s="33"/>
      <c r="L179" s="35"/>
      <c r="M179" s="33"/>
      <c r="N179" s="33"/>
      <c r="O179" s="34"/>
      <c r="P179" s="33"/>
    </row>
    <row r="180" spans="5:16" x14ac:dyDescent="0.2">
      <c r="E180" s="32"/>
      <c r="F180" s="33"/>
      <c r="G180" s="33"/>
      <c r="H180" s="33"/>
      <c r="I180" s="34"/>
      <c r="J180" s="33"/>
      <c r="K180" s="33"/>
      <c r="L180" s="35"/>
      <c r="M180" s="33"/>
      <c r="N180" s="33"/>
      <c r="O180" s="34"/>
      <c r="P180" s="33"/>
    </row>
    <row r="181" spans="5:16" x14ac:dyDescent="0.2">
      <c r="E181" s="32"/>
      <c r="F181" s="33"/>
      <c r="G181" s="33"/>
      <c r="H181" s="33"/>
      <c r="I181" s="34"/>
      <c r="J181" s="33"/>
      <c r="K181" s="33"/>
      <c r="L181" s="35"/>
      <c r="M181" s="33"/>
      <c r="N181" s="33"/>
      <c r="O181" s="34"/>
      <c r="P181" s="33"/>
    </row>
    <row r="182" spans="5:16" x14ac:dyDescent="0.2">
      <c r="E182" s="32"/>
      <c r="F182" s="33"/>
      <c r="G182" s="33"/>
      <c r="H182" s="33"/>
      <c r="I182" s="34"/>
      <c r="J182" s="33"/>
      <c r="K182" s="33"/>
      <c r="L182" s="35"/>
      <c r="M182" s="33"/>
      <c r="N182" s="33"/>
      <c r="O182" s="34"/>
      <c r="P182" s="33"/>
    </row>
    <row r="183" spans="5:16" x14ac:dyDescent="0.2">
      <c r="E183" s="32"/>
      <c r="F183" s="33"/>
      <c r="G183" s="33"/>
      <c r="H183" s="33"/>
      <c r="I183" s="34"/>
      <c r="J183" s="33"/>
      <c r="K183" s="33"/>
      <c r="L183" s="35"/>
      <c r="M183" s="33"/>
      <c r="N183" s="33"/>
      <c r="O183" s="34"/>
      <c r="P183" s="33"/>
    </row>
    <row r="184" spans="5:16" x14ac:dyDescent="0.2">
      <c r="E184" s="32"/>
      <c r="F184" s="33"/>
      <c r="G184" s="33"/>
      <c r="H184" s="33"/>
      <c r="I184" s="34"/>
      <c r="J184" s="33"/>
      <c r="K184" s="33"/>
      <c r="L184" s="35"/>
      <c r="M184" s="33"/>
      <c r="N184" s="33"/>
      <c r="O184" s="34"/>
      <c r="P184" s="33"/>
    </row>
    <row r="185" spans="5:16" x14ac:dyDescent="0.2">
      <c r="E185" s="32"/>
      <c r="F185" s="33"/>
      <c r="G185" s="33"/>
      <c r="H185" s="33"/>
      <c r="I185" s="34"/>
      <c r="J185" s="33"/>
      <c r="K185" s="33"/>
      <c r="L185" s="35"/>
      <c r="M185" s="33"/>
      <c r="N185" s="33"/>
      <c r="O185" s="34"/>
      <c r="P185" s="33"/>
    </row>
    <row r="186" spans="5:16" x14ac:dyDescent="0.2">
      <c r="E186" s="32"/>
      <c r="F186" s="33"/>
      <c r="G186" s="33"/>
      <c r="H186" s="33"/>
      <c r="I186" s="34"/>
      <c r="J186" s="33"/>
      <c r="K186" s="33"/>
      <c r="L186" s="35"/>
      <c r="M186" s="33"/>
      <c r="N186" s="33"/>
      <c r="O186" s="34"/>
      <c r="P186" s="33"/>
    </row>
    <row r="187" spans="5:16" x14ac:dyDescent="0.2">
      <c r="E187" s="32"/>
      <c r="F187" s="33"/>
      <c r="G187" s="33"/>
      <c r="H187" s="33"/>
      <c r="I187" s="34"/>
      <c r="J187" s="33"/>
      <c r="K187" s="33"/>
      <c r="L187" s="35"/>
      <c r="M187" s="33"/>
      <c r="N187" s="33"/>
      <c r="O187" s="34"/>
      <c r="P187" s="33"/>
    </row>
    <row r="188" spans="5:16" x14ac:dyDescent="0.2">
      <c r="E188" s="32"/>
      <c r="F188" s="33"/>
      <c r="G188" s="33"/>
      <c r="H188" s="33"/>
      <c r="I188" s="34"/>
      <c r="J188" s="33"/>
      <c r="K188" s="33"/>
      <c r="L188" s="35"/>
      <c r="M188" s="33"/>
      <c r="N188" s="33"/>
      <c r="O188" s="34"/>
      <c r="P188" s="33"/>
    </row>
    <row r="189" spans="5:16" x14ac:dyDescent="0.2">
      <c r="E189" s="32"/>
      <c r="F189" s="33"/>
      <c r="G189" s="33"/>
      <c r="H189" s="33"/>
      <c r="I189" s="34"/>
      <c r="J189" s="33"/>
      <c r="K189" s="33"/>
      <c r="L189" s="35"/>
      <c r="M189" s="33"/>
      <c r="N189" s="33"/>
      <c r="O189" s="34"/>
      <c r="P189" s="33"/>
    </row>
    <row r="190" spans="5:16" x14ac:dyDescent="0.2">
      <c r="E190" s="32"/>
      <c r="F190" s="33"/>
      <c r="G190" s="33"/>
      <c r="H190" s="33"/>
      <c r="I190" s="34"/>
      <c r="J190" s="33"/>
      <c r="K190" s="33"/>
      <c r="L190" s="35"/>
      <c r="M190" s="33"/>
      <c r="N190" s="33"/>
      <c r="O190" s="34"/>
      <c r="P190" s="33"/>
    </row>
    <row r="191" spans="5:16" x14ac:dyDescent="0.2">
      <c r="E191" s="32"/>
      <c r="F191" s="33"/>
      <c r="G191" s="33"/>
      <c r="H191" s="33"/>
      <c r="I191" s="34"/>
      <c r="J191" s="33"/>
      <c r="K191" s="33"/>
      <c r="L191" s="35"/>
      <c r="M191" s="33"/>
      <c r="N191" s="33"/>
      <c r="O191" s="34"/>
      <c r="P191" s="33"/>
    </row>
    <row r="192" spans="5:16" x14ac:dyDescent="0.2">
      <c r="E192" s="32"/>
      <c r="F192" s="33"/>
      <c r="G192" s="33"/>
      <c r="H192" s="33"/>
      <c r="I192" s="34"/>
      <c r="J192" s="33"/>
      <c r="K192" s="33"/>
      <c r="L192" s="35"/>
      <c r="M192" s="33"/>
      <c r="N192" s="33"/>
      <c r="O192" s="34"/>
      <c r="P192" s="33"/>
    </row>
    <row r="193" spans="5:16" x14ac:dyDescent="0.2">
      <c r="E193" s="32"/>
      <c r="F193" s="33"/>
      <c r="G193" s="33"/>
      <c r="H193" s="33"/>
      <c r="I193" s="34"/>
      <c r="J193" s="33"/>
      <c r="K193" s="33"/>
      <c r="L193" s="35"/>
      <c r="M193" s="33"/>
      <c r="N193" s="33"/>
      <c r="O193" s="34"/>
      <c r="P193" s="33"/>
    </row>
    <row r="194" spans="5:16" x14ac:dyDescent="0.2">
      <c r="E194" s="32"/>
      <c r="F194" s="33"/>
      <c r="G194" s="33"/>
      <c r="H194" s="33"/>
      <c r="I194" s="34"/>
      <c r="J194" s="33"/>
      <c r="K194" s="33"/>
      <c r="L194" s="35"/>
      <c r="M194" s="33"/>
      <c r="N194" s="33"/>
      <c r="O194" s="34"/>
      <c r="P194" s="33"/>
    </row>
    <row r="195" spans="5:16" x14ac:dyDescent="0.2">
      <c r="E195" s="32"/>
      <c r="F195" s="33"/>
      <c r="G195" s="33"/>
      <c r="H195" s="33"/>
      <c r="I195" s="34"/>
      <c r="J195" s="33"/>
      <c r="K195" s="33"/>
      <c r="L195" s="35"/>
      <c r="M195" s="33"/>
      <c r="N195" s="33"/>
      <c r="O195" s="34"/>
      <c r="P195" s="33"/>
    </row>
    <row r="196" spans="5:16" x14ac:dyDescent="0.2">
      <c r="E196" s="32"/>
      <c r="F196" s="33"/>
      <c r="G196" s="33"/>
      <c r="H196" s="33"/>
      <c r="I196" s="34"/>
      <c r="J196" s="33"/>
      <c r="K196" s="33"/>
      <c r="L196" s="35"/>
      <c r="M196" s="33"/>
      <c r="N196" s="33"/>
      <c r="O196" s="34"/>
      <c r="P196" s="33"/>
    </row>
  </sheetData>
  <autoFilter ref="A4:P68">
    <sortState ref="A6:P68">
      <sortCondition ref="E4:E68"/>
    </sortState>
  </autoFilter>
  <mergeCells count="7">
    <mergeCell ref="E3:H3"/>
    <mergeCell ref="I3:L3"/>
    <mergeCell ref="M3:P3"/>
    <mergeCell ref="A3:A4"/>
    <mergeCell ref="B3:B4"/>
    <mergeCell ref="C3:C4"/>
    <mergeCell ref="D3:D4"/>
  </mergeCells>
  <phoneticPr fontId="0" type="noConversion"/>
  <pageMargins left="0.75" right="0.6" top="1" bottom="1" header="0.5" footer="0.5"/>
  <pageSetup paperSize="9" scale="87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C17" sqref="C17"/>
    </sheetView>
  </sheetViews>
  <sheetFormatPr defaultRowHeight="12.75" x14ac:dyDescent="0.2"/>
  <cols>
    <col min="1" max="1" width="24.28515625" style="46" customWidth="1"/>
    <col min="2" max="2" width="13.5703125" style="46" customWidth="1"/>
    <col min="3" max="3" width="15.140625" style="46" customWidth="1"/>
    <col min="4" max="4" width="10.5703125" customWidth="1"/>
  </cols>
  <sheetData>
    <row r="1" spans="1:3" x14ac:dyDescent="0.2">
      <c r="A1" s="45" t="s">
        <v>80</v>
      </c>
    </row>
    <row r="3" spans="1:3" ht="25.5" x14ac:dyDescent="0.2">
      <c r="A3" s="45" t="s">
        <v>81</v>
      </c>
      <c r="B3" s="45" t="s">
        <v>82</v>
      </c>
      <c r="C3" s="47" t="s">
        <v>83</v>
      </c>
    </row>
    <row r="4" spans="1:3" x14ac:dyDescent="0.2">
      <c r="A4" s="48" t="s">
        <v>20</v>
      </c>
      <c r="B4" s="45" t="s">
        <v>88</v>
      </c>
      <c r="C4" s="46" t="s">
        <v>97</v>
      </c>
    </row>
    <row r="5" spans="1:3" x14ac:dyDescent="0.2">
      <c r="A5" s="48" t="s">
        <v>84</v>
      </c>
      <c r="B5" s="45">
        <v>62</v>
      </c>
      <c r="C5" s="46" t="s">
        <v>96</v>
      </c>
    </row>
    <row r="6" spans="1:3" x14ac:dyDescent="0.2">
      <c r="A6" s="48" t="s">
        <v>30</v>
      </c>
      <c r="B6" s="45" t="s">
        <v>89</v>
      </c>
      <c r="C6" s="46" t="s">
        <v>89</v>
      </c>
    </row>
    <row r="7" spans="1:3" x14ac:dyDescent="0.2">
      <c r="A7" s="48" t="s">
        <v>92</v>
      </c>
      <c r="B7" s="45"/>
      <c r="C7" s="46" t="s">
        <v>93</v>
      </c>
    </row>
    <row r="8" spans="1:3" x14ac:dyDescent="0.2">
      <c r="A8" s="48" t="s">
        <v>31</v>
      </c>
      <c r="B8" s="45" t="s">
        <v>90</v>
      </c>
      <c r="C8" s="46" t="s">
        <v>95</v>
      </c>
    </row>
    <row r="9" spans="1:3" x14ac:dyDescent="0.2">
      <c r="A9" s="48" t="s">
        <v>32</v>
      </c>
      <c r="B9" s="45" t="s">
        <v>91</v>
      </c>
      <c r="C9" s="46" t="s">
        <v>94</v>
      </c>
    </row>
    <row r="10" spans="1:3" x14ac:dyDescent="0.2">
      <c r="A10" s="49" t="s">
        <v>98</v>
      </c>
      <c r="B10" s="46" t="s">
        <v>99</v>
      </c>
      <c r="C10" s="46" t="s">
        <v>99</v>
      </c>
    </row>
    <row r="11" spans="1:3" x14ac:dyDescent="0.2">
      <c r="A11" s="49"/>
    </row>
    <row r="12" spans="1:3" x14ac:dyDescent="0.2">
      <c r="A12" s="49"/>
    </row>
    <row r="13" spans="1:3" x14ac:dyDescent="0.2">
      <c r="A13" s="49"/>
    </row>
    <row r="14" spans="1:3" x14ac:dyDescent="0.2">
      <c r="A14" s="4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7"/>
  <sheetViews>
    <sheetView workbookViewId="0">
      <selection activeCell="D6" sqref="D6"/>
    </sheetView>
  </sheetViews>
  <sheetFormatPr defaultRowHeight="12.75" x14ac:dyDescent="0.2"/>
  <cols>
    <col min="2" max="2" width="9.140625" style="50"/>
    <col min="3" max="3" width="12.28515625" customWidth="1"/>
    <col min="4" max="4" width="18.28515625" customWidth="1"/>
    <col min="5" max="5" width="23" customWidth="1"/>
    <col min="6" max="6" width="18.42578125" customWidth="1"/>
  </cols>
  <sheetData>
    <row r="3" spans="1:6" s="50" customFormat="1" x14ac:dyDescent="0.2">
      <c r="A3" s="60" t="s">
        <v>3</v>
      </c>
      <c r="B3" s="60" t="s">
        <v>100</v>
      </c>
      <c r="C3" s="60" t="s">
        <v>101</v>
      </c>
      <c r="D3" s="59" t="s">
        <v>102</v>
      </c>
      <c r="E3" s="59"/>
      <c r="F3" s="59"/>
    </row>
    <row r="4" spans="1:6" s="50" customFormat="1" x14ac:dyDescent="0.2">
      <c r="A4" s="60"/>
      <c r="B4" s="60"/>
      <c r="C4" s="60"/>
      <c r="D4" s="50" t="s">
        <v>103</v>
      </c>
      <c r="E4" s="50" t="s">
        <v>104</v>
      </c>
      <c r="F4" s="50" t="s">
        <v>105</v>
      </c>
    </row>
    <row r="5" spans="1:6" s="50" customFormat="1" x14ac:dyDescent="0.2">
      <c r="A5" s="46" t="s">
        <v>119</v>
      </c>
      <c r="B5" s="46">
        <v>13</v>
      </c>
      <c r="C5" s="46" t="s">
        <v>111</v>
      </c>
      <c r="D5" s="51" t="s">
        <v>20</v>
      </c>
    </row>
    <row r="6" spans="1:6" x14ac:dyDescent="0.2">
      <c r="A6" s="50" t="s">
        <v>117</v>
      </c>
      <c r="B6" s="50">
        <v>12</v>
      </c>
      <c r="C6" s="50" t="s">
        <v>111</v>
      </c>
      <c r="D6" t="s">
        <v>121</v>
      </c>
    </row>
    <row r="7" spans="1:6" x14ac:dyDescent="0.2">
      <c r="A7" s="50" t="s">
        <v>118</v>
      </c>
      <c r="B7" s="50">
        <v>11</v>
      </c>
      <c r="C7" s="50" t="s">
        <v>111</v>
      </c>
      <c r="D7" t="s">
        <v>30</v>
      </c>
    </row>
    <row r="8" spans="1:6" x14ac:dyDescent="0.2">
      <c r="A8" s="50" t="s">
        <v>116</v>
      </c>
      <c r="B8" s="50">
        <v>10</v>
      </c>
      <c r="C8" s="50" t="s">
        <v>111</v>
      </c>
      <c r="D8" t="s">
        <v>122</v>
      </c>
      <c r="E8" t="s">
        <v>109</v>
      </c>
    </row>
    <row r="9" spans="1:6" x14ac:dyDescent="0.2">
      <c r="A9" s="50" t="s">
        <v>115</v>
      </c>
      <c r="B9" s="50">
        <v>9</v>
      </c>
      <c r="C9" s="50" t="s">
        <v>111</v>
      </c>
      <c r="D9" t="s">
        <v>106</v>
      </c>
      <c r="E9" t="s">
        <v>110</v>
      </c>
    </row>
    <row r="10" spans="1:6" x14ac:dyDescent="0.2">
      <c r="A10" s="50" t="s">
        <v>114</v>
      </c>
      <c r="B10" s="50">
        <v>8</v>
      </c>
      <c r="C10" s="50" t="s">
        <v>111</v>
      </c>
      <c r="D10" t="s">
        <v>123</v>
      </c>
      <c r="E10" t="s">
        <v>108</v>
      </c>
    </row>
    <row r="11" spans="1:6" x14ac:dyDescent="0.2">
      <c r="A11" s="50" t="s">
        <v>113</v>
      </c>
      <c r="B11" s="50">
        <v>7</v>
      </c>
      <c r="C11" s="50" t="s">
        <v>111</v>
      </c>
      <c r="D11" t="s">
        <v>31</v>
      </c>
    </row>
    <row r="12" spans="1:6" x14ac:dyDescent="0.2">
      <c r="A12" s="50" t="s">
        <v>112</v>
      </c>
      <c r="B12" s="50">
        <v>6</v>
      </c>
      <c r="C12" s="50" t="s">
        <v>111</v>
      </c>
      <c r="D12" t="s">
        <v>120</v>
      </c>
    </row>
    <row r="13" spans="1:6" x14ac:dyDescent="0.2">
      <c r="A13" s="50">
        <v>44</v>
      </c>
      <c r="B13" s="50">
        <v>5</v>
      </c>
      <c r="F13" t="s">
        <v>32</v>
      </c>
    </row>
    <row r="14" spans="1:6" x14ac:dyDescent="0.2">
      <c r="A14" s="50">
        <v>43</v>
      </c>
      <c r="B14" s="50">
        <v>4</v>
      </c>
      <c r="F14" t="s">
        <v>32</v>
      </c>
    </row>
    <row r="15" spans="1:6" x14ac:dyDescent="0.2">
      <c r="A15" s="50">
        <v>42</v>
      </c>
      <c r="B15" s="50">
        <v>3</v>
      </c>
      <c r="F15" t="s">
        <v>32</v>
      </c>
    </row>
    <row r="16" spans="1:6" x14ac:dyDescent="0.2">
      <c r="A16" s="50">
        <v>41</v>
      </c>
      <c r="B16" s="50">
        <v>2</v>
      </c>
      <c r="F16" t="s">
        <v>107</v>
      </c>
    </row>
    <row r="17" spans="1:6" x14ac:dyDescent="0.2">
      <c r="A17" s="50">
        <v>40</v>
      </c>
      <c r="B17" s="50">
        <v>1</v>
      </c>
      <c r="F17" t="s">
        <v>107</v>
      </c>
    </row>
  </sheetData>
  <mergeCells count="4">
    <mergeCell ref="D3:F3"/>
    <mergeCell ref="A3:A4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IPE Notes</vt:lpstr>
      <vt:lpstr>Sheet1</vt:lpstr>
      <vt:lpstr>Sheet2</vt:lpstr>
      <vt:lpstr>'IPE Notes'!Print_Area</vt:lpstr>
    </vt:vector>
  </TitlesOfParts>
  <Company>Mercer Human Resource Consulting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IPE</dc:title>
  <dc:creator>Trika Gunawan A.</dc:creator>
  <cp:lastModifiedBy>Trika Gunawan A.</cp:lastModifiedBy>
  <cp:lastPrinted>2014-02-14T10:26:22Z</cp:lastPrinted>
  <dcterms:created xsi:type="dcterms:W3CDTF">2009-02-05T11:58:11Z</dcterms:created>
  <dcterms:modified xsi:type="dcterms:W3CDTF">2014-02-24T03:11:05Z</dcterms:modified>
</cp:coreProperties>
</file>